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210" windowWidth="37395" windowHeight="1150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N98" i="1" l="1"/>
  <c r="P98" i="1"/>
  <c r="O98" i="1"/>
  <c r="M98" i="1"/>
  <c r="P102" i="1"/>
  <c r="P103" i="1"/>
  <c r="P104" i="1"/>
  <c r="P105" i="1"/>
  <c r="P106" i="1"/>
  <c r="P107" i="1"/>
  <c r="P108" i="1"/>
  <c r="P109" i="1"/>
  <c r="P110" i="1"/>
  <c r="P111" i="1"/>
  <c r="P112" i="1"/>
  <c r="O102" i="1"/>
  <c r="O103" i="1"/>
  <c r="O104" i="1"/>
  <c r="O105" i="1"/>
  <c r="O106" i="1"/>
  <c r="O107" i="1"/>
  <c r="O108" i="1"/>
  <c r="O109" i="1"/>
  <c r="O110" i="1"/>
  <c r="O111" i="1"/>
  <c r="O112" i="1"/>
  <c r="N102" i="1"/>
  <c r="N103" i="1"/>
  <c r="N104" i="1"/>
  <c r="N105" i="1"/>
  <c r="N106" i="1"/>
  <c r="N107" i="1"/>
  <c r="N108" i="1"/>
  <c r="N109" i="1"/>
  <c r="N110" i="1"/>
  <c r="N111" i="1"/>
  <c r="N112" i="1"/>
  <c r="M102" i="1"/>
  <c r="M103" i="1"/>
  <c r="M104" i="1"/>
  <c r="M105" i="1"/>
  <c r="M106" i="1"/>
  <c r="M107" i="1"/>
  <c r="M108" i="1"/>
  <c r="M109" i="1"/>
  <c r="M110" i="1"/>
  <c r="M111" i="1"/>
  <c r="M112" i="1"/>
  <c r="P101" i="1"/>
  <c r="O101" i="1"/>
  <c r="N101" i="1"/>
  <c r="M101" i="1"/>
  <c r="P114" i="1" l="1"/>
  <c r="P97" i="1" s="1"/>
  <c r="M114" i="1"/>
  <c r="M97" i="1" s="1"/>
  <c r="N114" i="1"/>
  <c r="N97" i="1" s="1"/>
  <c r="O114" i="1"/>
  <c r="O97" i="1" s="1"/>
  <c r="M70" i="1"/>
  <c r="N70" i="1"/>
  <c r="O70" i="1"/>
  <c r="M71" i="1"/>
  <c r="N71" i="1"/>
  <c r="O71" i="1"/>
  <c r="M72" i="1"/>
  <c r="N72" i="1"/>
  <c r="O72" i="1"/>
  <c r="M73" i="1"/>
  <c r="N73" i="1"/>
  <c r="O73" i="1"/>
  <c r="M74" i="1"/>
  <c r="N74" i="1"/>
  <c r="O74" i="1"/>
  <c r="M75" i="1"/>
  <c r="N75" i="1"/>
  <c r="O75" i="1"/>
  <c r="M76" i="1"/>
  <c r="N76" i="1"/>
  <c r="O76" i="1"/>
  <c r="M77" i="1"/>
  <c r="N77" i="1"/>
  <c r="O77" i="1"/>
  <c r="M78" i="1"/>
  <c r="N78" i="1"/>
  <c r="O78" i="1"/>
  <c r="M79" i="1"/>
  <c r="N79" i="1"/>
  <c r="O79" i="1"/>
  <c r="O69" i="1"/>
  <c r="N69" i="1"/>
  <c r="M69" i="1"/>
  <c r="O68" i="1"/>
  <c r="N68" i="1"/>
  <c r="M6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O48" i="1"/>
  <c r="N48" i="1"/>
  <c r="M58" i="1"/>
  <c r="M59" i="1"/>
  <c r="M49" i="1"/>
  <c r="M50" i="1"/>
  <c r="M51" i="1"/>
  <c r="M52" i="1"/>
  <c r="M53" i="1"/>
  <c r="M54" i="1"/>
  <c r="M55" i="1"/>
  <c r="M56" i="1"/>
  <c r="M57" i="1"/>
  <c r="M48" i="1"/>
  <c r="O32" i="1"/>
  <c r="O81" i="1" s="1"/>
  <c r="N32" i="1"/>
  <c r="N81" i="1" s="1"/>
  <c r="M32" i="1"/>
  <c r="M81" i="1" s="1"/>
  <c r="M61" i="1" l="1"/>
  <c r="M62" i="1" s="1"/>
  <c r="M63" i="1" s="1"/>
  <c r="M31" i="1" s="1"/>
  <c r="M80" i="1" s="1"/>
  <c r="N61" i="1"/>
  <c r="N62" i="1" s="1"/>
  <c r="N63" i="1" s="1"/>
  <c r="N31" i="1" s="1"/>
  <c r="N80" i="1" s="1"/>
  <c r="O61" i="1"/>
  <c r="O62" i="1" s="1"/>
  <c r="O63" i="1" s="1"/>
  <c r="O31" i="1" s="1"/>
  <c r="O80" i="1" s="1"/>
</calcChain>
</file>

<file path=xl/sharedStrings.xml><?xml version="1.0" encoding="utf-8"?>
<sst xmlns="http://schemas.openxmlformats.org/spreadsheetml/2006/main" count="938" uniqueCount="162">
  <si>
    <t>Repricing Error in Bps</t>
  </si>
  <si>
    <t>Instrumets</t>
  </si>
  <si>
    <t>Linear</t>
  </si>
  <si>
    <t>MonotoneCubic</t>
  </si>
  <si>
    <t>SplitRange</t>
  </si>
  <si>
    <t>ShareRange</t>
  </si>
  <si>
    <t>Included Instruments</t>
  </si>
  <si>
    <t>ECBOIS</t>
  </si>
  <si>
    <t>MAR16</t>
  </si>
  <si>
    <t>APR16</t>
  </si>
  <si>
    <t>JUN16</t>
  </si>
  <si>
    <t>JUL16</t>
  </si>
  <si>
    <t>SEP16</t>
  </si>
  <si>
    <t>OCT16</t>
  </si>
  <si>
    <t>DEC16</t>
  </si>
  <si>
    <t>JAN17</t>
  </si>
  <si>
    <t>MAR17</t>
  </si>
  <si>
    <t>OIS</t>
  </si>
  <si>
    <t>SW</t>
  </si>
  <si>
    <t>2W</t>
  </si>
  <si>
    <t>3W</t>
  </si>
  <si>
    <t>1M</t>
  </si>
  <si>
    <t>Not-Included Instruments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</si>
  <si>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</si>
  <si>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</si>
  <si>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</si>
  <si>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</si>
  <si>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</si>
  <si>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</si>
  <si>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</si>
  <si>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</si>
  <si>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</si>
  <si>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</si>
  <si>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</si>
  <si>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</si>
  <si>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</si>
  <si>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</si>
  <si>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</si>
  <si>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</si>
  <si>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</si>
  <si>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</si>
  <si>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</si>
  <si>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</si>
  <si>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</si>
  <si>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</si>
  <si>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</si>
  <si>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</si>
  <si>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</si>
  <si>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</si>
  <si>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</si>
  <si>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</si>
  <si>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</si>
  <si>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</si>
  <si>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</si>
  <si>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60Y</t>
  </si>
  <si>
    <t>Overlapping</t>
  </si>
  <si>
    <t>Excluding</t>
  </si>
  <si>
    <t>Stub</t>
  </si>
  <si>
    <t>Tenor</t>
  </si>
  <si>
    <t>+ Jumps</t>
  </si>
  <si>
    <t>No Jumps</t>
  </si>
  <si>
    <t>45Y</t>
  </si>
  <si>
    <t>Repricing Errors in Bps</t>
  </si>
  <si>
    <t>Instruments</t>
  </si>
  <si>
    <t>Jump $</t>
  </si>
  <si>
    <t>EURON Market Dataset</t>
  </si>
  <si>
    <t>Instrument</t>
  </si>
  <si>
    <t>Quote Object ID</t>
  </si>
  <si>
    <t>Fixing Date</t>
  </si>
  <si>
    <t>Value Date</t>
  </si>
  <si>
    <t>Maturity Date</t>
  </si>
  <si>
    <t>Quote Value</t>
  </si>
  <si>
    <t>EURECBOISMAR16_Quote</t>
  </si>
  <si>
    <t>EURECBOISAPR16_Quote</t>
  </si>
  <si>
    <t>EURECBOISJUN16_Quote</t>
  </si>
  <si>
    <t>EURECBOISJUL16_Quote</t>
  </si>
  <si>
    <t>EURECBOISSEP16_Quote</t>
  </si>
  <si>
    <t>EURECBOISOCT16_Quote</t>
  </si>
  <si>
    <t>EURECBOISDEC16_Quote</t>
  </si>
  <si>
    <t>EURECBOISJAN17_Quote</t>
  </si>
  <si>
    <t>EURECBOISMAR17_Quote</t>
  </si>
  <si>
    <t>EON</t>
  </si>
  <si>
    <t>EUREONSW_Quote</t>
  </si>
  <si>
    <t>EUREON2W_Quote</t>
  </si>
  <si>
    <t>EUREON3W_Quote</t>
  </si>
  <si>
    <t>EUREON1M_Quote</t>
  </si>
  <si>
    <t>EUREON2M_Quote</t>
  </si>
  <si>
    <t>EUREON3M_Quote</t>
  </si>
  <si>
    <t>EUREON4M_Quote</t>
  </si>
  <si>
    <t>EUREON5M_Quote</t>
  </si>
  <si>
    <t>EUREON6M_Quote</t>
  </si>
  <si>
    <t>EUREON7M_Quote</t>
  </si>
  <si>
    <t>EUREON8M_Quote</t>
  </si>
  <si>
    <t>EUREON9M_Quote</t>
  </si>
  <si>
    <t>EUREON10M_Quote</t>
  </si>
  <si>
    <t>EUREON11M_Quote</t>
  </si>
  <si>
    <t>EUREON1Y_Quote</t>
  </si>
  <si>
    <t>EUREON15M_Quote</t>
  </si>
  <si>
    <t>EUREON18M_Quote</t>
  </si>
  <si>
    <t>EUREON21M_Quote</t>
  </si>
  <si>
    <t>EUREON2Y_Quote</t>
  </si>
  <si>
    <t>EUREON3Y_Quote</t>
  </si>
  <si>
    <t>EUREON4Y_Quote</t>
  </si>
  <si>
    <t>EUREON5Y_Quote</t>
  </si>
  <si>
    <t>EUREON6Y_Quote</t>
  </si>
  <si>
    <t>EUREON7Y_Quote</t>
  </si>
  <si>
    <t>EUREON8Y_Quote</t>
  </si>
  <si>
    <t>EUREON9Y_Quote</t>
  </si>
  <si>
    <t>EUREON10Y_Quote</t>
  </si>
  <si>
    <t>EUREON11Y_Quote</t>
  </si>
  <si>
    <t>EUREON12Y_Quote</t>
  </si>
  <si>
    <t>EUREON15Y_Quote</t>
  </si>
  <si>
    <t>EUREON20Y_Quote</t>
  </si>
  <si>
    <t>EUREON25Y_Quote</t>
  </si>
  <si>
    <t>EUREON30Y_Quote</t>
  </si>
  <si>
    <t>EUREON40Y_Quote</t>
  </si>
  <si>
    <t>EUREON50Y_Quote</t>
  </si>
  <si>
    <t>EUREON60Y_Quote</t>
  </si>
  <si>
    <t>Included</t>
  </si>
  <si>
    <t>YES</t>
  </si>
  <si>
    <t>NO</t>
  </si>
  <si>
    <t>Max Error</t>
  </si>
  <si>
    <t>Root Mean Square Error</t>
  </si>
  <si>
    <t>QuoteValue</t>
  </si>
  <si>
    <t>Exclud</t>
  </si>
  <si>
    <t>Overlap</t>
  </si>
  <si>
    <t>USDON Market Dataset</t>
  </si>
  <si>
    <t>USDOISSW_Quote</t>
  </si>
  <si>
    <t>USDOIS2W_Quote</t>
  </si>
  <si>
    <t>USDOIS3W_Quote</t>
  </si>
  <si>
    <t>USDOIS1M_Quote</t>
  </si>
  <si>
    <t>USDOIS2M_Quote</t>
  </si>
  <si>
    <t>USDOIS3M_Quote</t>
  </si>
  <si>
    <t>USDOIS4M_Quote</t>
  </si>
  <si>
    <t>USDOIS5M_Quote</t>
  </si>
  <si>
    <t>USDOIS6M_Quote</t>
  </si>
  <si>
    <t>USDOIS7M_Quote</t>
  </si>
  <si>
    <t>USDOIS8M_Quote</t>
  </si>
  <si>
    <t>USDOIS9M_Quote</t>
  </si>
  <si>
    <t>USDOIS10M_Quote</t>
  </si>
  <si>
    <t>USDOIS11M_Quote</t>
  </si>
  <si>
    <t>USDOIS1Y_Quote</t>
  </si>
  <si>
    <t>USDOIS15M_Quote</t>
  </si>
  <si>
    <t>USDOIS18M_Quote</t>
  </si>
  <si>
    <t>USDOIS21M_Quote</t>
  </si>
  <si>
    <t>USDOIS2Y_Quote</t>
  </si>
  <si>
    <t>USDOIS3Y_Quote</t>
  </si>
  <si>
    <t>USDOIS4Y_Quote</t>
  </si>
  <si>
    <t>USDOIS5Y_Quote</t>
  </si>
  <si>
    <t>USDOIS6Y_Quote</t>
  </si>
  <si>
    <t>USDOIS7Y_Quote</t>
  </si>
  <si>
    <t>USDOIS8Y_Quote</t>
  </si>
  <si>
    <t>USDOIS9Y_Quote</t>
  </si>
  <si>
    <t>USDOIS10Y_Quote</t>
  </si>
  <si>
    <t>USDOIS12Y_Quote</t>
  </si>
  <si>
    <t>USDOIS15Y_Quote</t>
  </si>
  <si>
    <t>USDOIS20Y_Quote</t>
  </si>
  <si>
    <t>USDOIS25Y_Quote</t>
  </si>
  <si>
    <t>USDOIS30Y_Quote</t>
  </si>
  <si>
    <t>USDOIS40Y_Quote</t>
  </si>
  <si>
    <t>USDOIS45Y_Quote</t>
  </si>
  <si>
    <t>USDOIS50Y_Quote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</si>
</sst>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&quot;£&quot;#,##0;[Red]\-&quot;£&quot;#,##0"/>
    <numFmt numFmtId="165" formatCode="General_)"/>
    <numFmt numFmtId="166" formatCode="#,##0.0;#,##0.0"/>
    <numFmt numFmtId="167" formatCode="_([$€-2]* #,##0.00_);_([$€-2]* \(#,##0.00\);_([$€-2]* &quot;-&quot;??_)"/>
    <numFmt numFmtId="168" formatCode="0.0000%"/>
    <numFmt numFmtId="169" formatCode="ddd\,\ dd\-mmm\-yyyy"/>
    <numFmt numFmtId="170" formatCode="0.0000E+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10"/>
      <name val="Courier New"/>
      <family val="3"/>
    </font>
    <font>
      <sz val="9"/>
      <name val="Courier New"/>
      <family val="3"/>
    </font>
    <font>
      <sz val="9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</fonts>
  <fills count="8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9">
    <xf numFmtId="0" fontId="0" fillId="0" borderId="0"/>
    <xf numFmtId="0" fontId="2" fillId="0" borderId="0"/>
    <xf numFmtId="9" fontId="2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5" fontId="5" fillId="0" borderId="0"/>
    <xf numFmtId="166" fontId="6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2" fillId="0" borderId="0"/>
    <xf numFmtId="0" fontId="3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5">
    <xf numFmtId="0" fontId="0" fillId="0" borderId="0" xfId="0"/>
    <xf numFmtId="0" fontId="8" fillId="0" borderId="0" xfId="1" applyFont="1" applyFill="1" applyBorder="1"/>
    <xf numFmtId="0" fontId="7" fillId="3" borderId="7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8" fillId="0" borderId="0" xfId="1" applyFont="1" applyFill="1" applyBorder="1"/>
    <xf numFmtId="0" fontId="7" fillId="3" borderId="7" xfId="1" quotePrefix="1" applyFont="1" applyFill="1" applyBorder="1" applyAlignment="1">
      <alignment horizontal="center" vertical="center"/>
    </xf>
    <xf numFmtId="0" fontId="8" fillId="3" borderId="15" xfId="1" applyFont="1" applyFill="1" applyBorder="1" applyAlignment="1">
      <alignment horizontal="center" vertical="center"/>
    </xf>
    <xf numFmtId="2" fontId="10" fillId="0" borderId="7" xfId="1" applyNumberFormat="1" applyFont="1" applyFill="1" applyBorder="1" applyAlignment="1">
      <alignment horizontal="center"/>
    </xf>
    <xf numFmtId="2" fontId="10" fillId="0" borderId="12" xfId="1" applyNumberFormat="1" applyFont="1" applyFill="1" applyBorder="1" applyAlignment="1">
      <alignment horizontal="center"/>
    </xf>
    <xf numFmtId="0" fontId="8" fillId="3" borderId="0" xfId="1" applyFont="1" applyFill="1" applyBorder="1" applyAlignment="1">
      <alignment horizontal="center" vertical="center"/>
    </xf>
    <xf numFmtId="2" fontId="10" fillId="0" borderId="6" xfId="1" applyNumberFormat="1" applyFont="1" applyFill="1" applyBorder="1" applyAlignment="1">
      <alignment horizontal="center"/>
    </xf>
    <xf numFmtId="2" fontId="10" fillId="0" borderId="1" xfId="1" applyNumberFormat="1" applyFont="1" applyFill="1" applyBorder="1" applyAlignment="1">
      <alignment horizontal="center"/>
    </xf>
    <xf numFmtId="0" fontId="8" fillId="3" borderId="14" xfId="1" applyFont="1" applyFill="1" applyBorder="1" applyAlignment="1">
      <alignment horizontal="center" vertical="center"/>
    </xf>
    <xf numFmtId="2" fontId="10" fillId="0" borderId="5" xfId="1" applyNumberFormat="1" applyFont="1" applyFill="1" applyBorder="1" applyAlignment="1">
      <alignment horizontal="center"/>
    </xf>
    <xf numFmtId="2" fontId="10" fillId="0" borderId="13" xfId="1" applyNumberFormat="1" applyFont="1" applyFill="1" applyBorder="1" applyAlignment="1">
      <alignment horizontal="center"/>
    </xf>
    <xf numFmtId="2" fontId="10" fillId="0" borderId="15" xfId="1" applyNumberFormat="1" applyFont="1" applyFill="1" applyBorder="1" applyAlignment="1">
      <alignment horizontal="center" vertical="center"/>
    </xf>
    <xf numFmtId="2" fontId="10" fillId="0" borderId="7" xfId="1" applyNumberFormat="1" applyFont="1" applyFill="1" applyBorder="1" applyAlignment="1">
      <alignment horizontal="center" vertical="center"/>
    </xf>
    <xf numFmtId="2" fontId="10" fillId="0" borderId="12" xfId="1" applyNumberFormat="1" applyFont="1" applyFill="1" applyBorder="1" applyAlignment="1">
      <alignment horizontal="center" vertical="center"/>
    </xf>
    <xf numFmtId="2" fontId="10" fillId="0" borderId="0" xfId="1" applyNumberFormat="1" applyFont="1" applyFill="1" applyBorder="1" applyAlignment="1">
      <alignment horizontal="center" vertical="center"/>
    </xf>
    <xf numFmtId="2" fontId="10" fillId="0" borderId="6" xfId="1" applyNumberFormat="1" applyFont="1" applyFill="1" applyBorder="1" applyAlignment="1">
      <alignment horizontal="center" vertical="center"/>
    </xf>
    <xf numFmtId="2" fontId="10" fillId="0" borderId="1" xfId="1" applyNumberFormat="1" applyFont="1" applyFill="1" applyBorder="1" applyAlignment="1">
      <alignment horizontal="center" vertical="center"/>
    </xf>
    <xf numFmtId="2" fontId="10" fillId="0" borderId="14" xfId="1" applyNumberFormat="1" applyFont="1" applyFill="1" applyBorder="1" applyAlignment="1">
      <alignment horizontal="center" vertical="center"/>
    </xf>
    <xf numFmtId="2" fontId="10" fillId="0" borderId="5" xfId="1" applyNumberFormat="1" applyFont="1" applyFill="1" applyBorder="1" applyAlignment="1">
      <alignment horizontal="center" vertical="center"/>
    </xf>
    <xf numFmtId="2" fontId="10" fillId="0" borderId="13" xfId="1" applyNumberFormat="1" applyFont="1" applyFill="1" applyBorder="1" applyAlignment="1">
      <alignment horizontal="center" vertical="center"/>
    </xf>
    <xf numFmtId="2" fontId="11" fillId="0" borderId="15" xfId="1" applyNumberFormat="1" applyFont="1" applyFill="1" applyBorder="1" applyAlignment="1">
      <alignment horizontal="center" vertical="center"/>
    </xf>
    <xf numFmtId="2" fontId="11" fillId="0" borderId="7" xfId="1" applyNumberFormat="1" applyFont="1" applyFill="1" applyBorder="1" applyAlignment="1">
      <alignment horizontal="center" vertical="center"/>
    </xf>
    <xf numFmtId="2" fontId="11" fillId="0" borderId="0" xfId="1" applyNumberFormat="1" applyFont="1" applyFill="1" applyBorder="1" applyAlignment="1">
      <alignment horizontal="center" vertical="center"/>
    </xf>
    <xf numFmtId="2" fontId="11" fillId="0" borderId="6" xfId="1" applyNumberFormat="1" applyFont="1" applyFill="1" applyBorder="1" applyAlignment="1">
      <alignment horizontal="center" vertical="center"/>
    </xf>
    <xf numFmtId="2" fontId="11" fillId="0" borderId="1" xfId="1" applyNumberFormat="1" applyFont="1" applyFill="1" applyBorder="1" applyAlignment="1">
      <alignment horizontal="center" vertical="center"/>
    </xf>
    <xf numFmtId="2" fontId="10" fillId="0" borderId="14" xfId="1" applyNumberFormat="1" applyFont="1" applyFill="1" applyBorder="1" applyAlignment="1">
      <alignment horizontal="center"/>
    </xf>
    <xf numFmtId="0" fontId="7" fillId="3" borderId="7" xfId="1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8" fillId="0" borderId="6" xfId="1" applyFont="1" applyFill="1" applyBorder="1"/>
    <xf numFmtId="0" fontId="8" fillId="0" borderId="5" xfId="1" applyFont="1" applyFill="1" applyBorder="1"/>
    <xf numFmtId="169" fontId="8" fillId="0" borderId="6" xfId="1" applyNumberFormat="1" applyFont="1" applyFill="1" applyBorder="1"/>
    <xf numFmtId="169" fontId="8" fillId="0" borderId="5" xfId="1" applyNumberFormat="1" applyFont="1" applyFill="1" applyBorder="1"/>
    <xf numFmtId="168" fontId="8" fillId="0" borderId="6" xfId="1" applyNumberFormat="1" applyFont="1" applyFill="1" applyBorder="1"/>
    <xf numFmtId="168" fontId="8" fillId="0" borderId="5" xfId="1" applyNumberFormat="1" applyFont="1" applyFill="1" applyBorder="1"/>
    <xf numFmtId="168" fontId="8" fillId="0" borderId="7" xfId="1" applyNumberFormat="1" applyFont="1" applyFill="1" applyBorder="1"/>
    <xf numFmtId="0" fontId="7" fillId="3" borderId="7" xfId="1" applyFont="1" applyFill="1" applyBorder="1" applyAlignment="1">
      <alignment horizontal="center" vertical="center"/>
    </xf>
    <xf numFmtId="2" fontId="11" fillId="0" borderId="7" xfId="1" applyNumberFormat="1" applyFont="1" applyFill="1" applyBorder="1" applyAlignment="1">
      <alignment horizontal="center"/>
    </xf>
    <xf numFmtId="168" fontId="8" fillId="7" borderId="6" xfId="1" applyNumberFormat="1" applyFont="1" applyFill="1" applyBorder="1"/>
    <xf numFmtId="168" fontId="8" fillId="7" borderId="7" xfId="1" applyNumberFormat="1" applyFont="1" applyFill="1" applyBorder="1"/>
    <xf numFmtId="168" fontId="8" fillId="7" borderId="5" xfId="1" applyNumberFormat="1" applyFont="1" applyFill="1" applyBorder="1"/>
    <xf numFmtId="15" fontId="8" fillId="3" borderId="7" xfId="1" applyNumberFormat="1" applyFont="1" applyFill="1" applyBorder="1"/>
    <xf numFmtId="15" fontId="8" fillId="3" borderId="6" xfId="1" applyNumberFormat="1" applyFont="1" applyFill="1" applyBorder="1"/>
    <xf numFmtId="15" fontId="8" fillId="3" borderId="5" xfId="1" applyNumberFormat="1" applyFont="1" applyFill="1" applyBorder="1"/>
    <xf numFmtId="2" fontId="0" fillId="0" borderId="0" xfId="0" applyNumberFormat="1"/>
    <xf numFmtId="170" fontId="0" fillId="0" borderId="0" xfId="0" applyNumberFormat="1"/>
    <xf numFmtId="2" fontId="10" fillId="0" borderId="3" xfId="1" applyNumberFormat="1" applyFont="1" applyFill="1" applyBorder="1" applyAlignment="1">
      <alignment horizontal="center"/>
    </xf>
    <xf numFmtId="2" fontId="10" fillId="0" borderId="3" xfId="1" applyNumberFormat="1" applyFont="1" applyFill="1" applyBorder="1" applyAlignment="1">
      <alignment horizontal="center" vertical="center"/>
    </xf>
    <xf numFmtId="0" fontId="0" fillId="0" borderId="0" xfId="0" applyNumberFormat="1"/>
    <xf numFmtId="0" fontId="7" fillId="3" borderId="10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 vertical="center"/>
    </xf>
    <xf numFmtId="0" fontId="7" fillId="4" borderId="10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8" xfId="1" applyFont="1" applyFill="1" applyBorder="1" applyAlignment="1">
      <alignment horizontal="center" vertical="center"/>
    </xf>
    <xf numFmtId="0" fontId="7" fillId="3" borderId="7" xfId="1" applyFont="1" applyFill="1" applyBorder="1" applyAlignment="1">
      <alignment horizontal="center" vertical="center"/>
    </xf>
    <xf numFmtId="0" fontId="7" fillId="4" borderId="10" xfId="1" applyFont="1" applyFill="1" applyBorder="1" applyAlignment="1">
      <alignment horizontal="center"/>
    </xf>
    <xf numFmtId="0" fontId="7" fillId="4" borderId="8" xfId="1" applyFont="1" applyFill="1" applyBorder="1" applyAlignment="1">
      <alignment horizontal="center"/>
    </xf>
    <xf numFmtId="0" fontId="7" fillId="4" borderId="4" xfId="1" applyFont="1" applyFill="1" applyBorder="1" applyAlignment="1">
      <alignment horizontal="center"/>
    </xf>
    <xf numFmtId="0" fontId="9" fillId="4" borderId="3" xfId="1" applyFont="1" applyFill="1" applyBorder="1" applyAlignment="1">
      <alignment horizontal="center" vertical="center" textRotation="90"/>
    </xf>
    <xf numFmtId="0" fontId="13" fillId="5" borderId="10" xfId="1" applyFont="1" applyFill="1" applyBorder="1" applyAlignment="1">
      <alignment horizontal="center" vertical="center"/>
    </xf>
    <xf numFmtId="0" fontId="13" fillId="5" borderId="8" xfId="1" applyFont="1" applyFill="1" applyBorder="1" applyAlignment="1">
      <alignment horizontal="center" vertical="center"/>
    </xf>
    <xf numFmtId="0" fontId="13" fillId="5" borderId="4" xfId="1" applyFont="1" applyFill="1" applyBorder="1" applyAlignment="1">
      <alignment horizontal="center" vertical="center"/>
    </xf>
    <xf numFmtId="0" fontId="8" fillId="4" borderId="10" xfId="1" applyFont="1" applyFill="1" applyBorder="1" applyAlignment="1">
      <alignment horizontal="center"/>
    </xf>
    <xf numFmtId="0" fontId="8" fillId="4" borderId="8" xfId="1" applyFont="1" applyFill="1" applyBorder="1" applyAlignment="1">
      <alignment horizontal="center"/>
    </xf>
    <xf numFmtId="0" fontId="8" fillId="4" borderId="4" xfId="1" applyFont="1" applyFill="1" applyBorder="1" applyAlignment="1">
      <alignment horizontal="center"/>
    </xf>
    <xf numFmtId="0" fontId="8" fillId="0" borderId="6" xfId="1" applyFont="1" applyFill="1" applyBorder="1"/>
    <xf numFmtId="0" fontId="8" fillId="0" borderId="5" xfId="1" applyFont="1" applyFill="1" applyBorder="1"/>
    <xf numFmtId="0" fontId="8" fillId="0" borderId="7" xfId="1" applyFont="1" applyFill="1" applyBorder="1"/>
    <xf numFmtId="0" fontId="7" fillId="6" borderId="3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168" fontId="8" fillId="0" borderId="6" xfId="1" applyNumberFormat="1" applyFont="1" applyFill="1" applyBorder="1"/>
    <xf numFmtId="168" fontId="8" fillId="0" borderId="5" xfId="1" applyNumberFormat="1" applyFont="1" applyFill="1" applyBorder="1"/>
    <xf numFmtId="169" fontId="8" fillId="0" borderId="7" xfId="1" applyNumberFormat="1" applyFont="1" applyFill="1" applyBorder="1"/>
    <xf numFmtId="168" fontId="8" fillId="0" borderId="7" xfId="1" applyNumberFormat="1" applyFont="1" applyFill="1" applyBorder="1"/>
    <xf numFmtId="169" fontId="8" fillId="0" borderId="6" xfId="1" applyNumberFormat="1" applyFont="1" applyFill="1" applyBorder="1"/>
    <xf numFmtId="169" fontId="8" fillId="0" borderId="5" xfId="1" applyNumberFormat="1" applyFont="1" applyFill="1" applyBorder="1"/>
  </cellXfs>
  <cellStyles count="29">
    <cellStyle name="Comma 2" xfId="16"/>
    <cellStyle name="Comma 2 2" xfId="28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3 2" xfId="27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M114"/>
  <sheetViews>
    <sheetView showGridLines="0" tabSelected="1" topLeftCell="P13" zoomScale="115" zoomScaleNormal="115" workbookViewId="0">
      <selection activeCell="AG45" sqref="AG45"/>
    </sheetView>
  </sheetViews>
  <sheetFormatPr defaultRowHeight="15" x14ac:dyDescent="0.25"/>
  <cols>
    <col min="1" max="1" width="6.140625" customWidth="1"/>
    <col min="2" max="2" width="7.140625" customWidth="1"/>
    <col min="3" max="4" width="9.7109375" customWidth="1"/>
    <col min="5" max="8" width="14.7109375" customWidth="1"/>
    <col min="9" max="9" width="2.42578125" customWidth="1"/>
    <col min="10" max="10" width="7.140625" customWidth="1"/>
    <col min="11" max="12" width="12" customWidth="1"/>
    <col min="13" max="15" width="14.7109375" customWidth="1"/>
    <col min="16" max="16" width="14.5703125" customWidth="1"/>
    <col min="23" max="23" width="11" bestFit="1" customWidth="1"/>
    <col min="25" max="25" width="21.42578125" bestFit="1" customWidth="1"/>
    <col min="26" max="28" width="17.28515625" bestFit="1" customWidth="1"/>
    <col min="29" max="29" width="12" bestFit="1" customWidth="1"/>
    <col min="30" max="30" width="9" bestFit="1" customWidth="1"/>
    <col min="32" max="32" width="11" bestFit="1" customWidth="1"/>
    <col min="33" max="33" width="6" bestFit="1" customWidth="1"/>
    <col min="34" max="34" width="16.140625" bestFit="1" customWidth="1"/>
    <col min="35" max="37" width="17.28515625" bestFit="1" customWidth="1"/>
    <col min="38" max="38" width="12" bestFit="1" customWidth="1"/>
  </cols>
  <sheetData>
    <row r="1" spans="2:39" x14ac:dyDescent="0.25">
      <c r="S1" t="s">
        <v>64</v>
      </c>
    </row>
    <row r="2" spans="2:39" ht="12.75" customHeight="1" x14ac:dyDescent="0.25">
      <c r="B2" s="1"/>
      <c r="C2" s="64" t="s">
        <v>0</v>
      </c>
      <c r="D2" s="65"/>
      <c r="E2" s="65"/>
      <c r="F2" s="65"/>
      <c r="G2" s="65"/>
      <c r="H2" s="66"/>
      <c r="J2" s="9"/>
      <c r="K2" s="64" t="s">
        <v>62</v>
      </c>
      <c r="L2" s="65"/>
      <c r="M2" s="65"/>
      <c r="N2" s="65"/>
      <c r="O2" s="66"/>
      <c r="R2" s="71" t="s">
        <v>62</v>
      </c>
      <c r="S2" s="72"/>
      <c r="T2" s="72"/>
      <c r="U2" s="73"/>
      <c r="W2" s="68" t="s">
        <v>65</v>
      </c>
      <c r="X2" s="69"/>
      <c r="Y2" s="69"/>
      <c r="Z2" s="69"/>
      <c r="AA2" s="69"/>
      <c r="AB2" s="69"/>
      <c r="AC2" s="69"/>
      <c r="AD2" s="70"/>
      <c r="AF2" s="68" t="s">
        <v>126</v>
      </c>
      <c r="AG2" s="69"/>
      <c r="AH2" s="69"/>
      <c r="AI2" s="69"/>
      <c r="AJ2" s="69"/>
      <c r="AK2" s="69"/>
      <c r="AL2" s="69"/>
      <c r="AM2" s="70"/>
    </row>
    <row r="3" spans="2:39" ht="12.75" customHeight="1" x14ac:dyDescent="0.25">
      <c r="B3" s="1"/>
      <c r="C3" s="63" t="s">
        <v>1</v>
      </c>
      <c r="D3" s="63"/>
      <c r="E3" s="2" t="s">
        <v>2</v>
      </c>
      <c r="F3" s="2" t="s">
        <v>3</v>
      </c>
      <c r="G3" s="2" t="s">
        <v>4</v>
      </c>
      <c r="H3" s="2" t="s">
        <v>5</v>
      </c>
      <c r="J3" s="9"/>
      <c r="K3" s="58" t="s">
        <v>1</v>
      </c>
      <c r="L3" s="59"/>
      <c r="M3" s="2" t="s">
        <v>55</v>
      </c>
      <c r="N3" s="2" t="s">
        <v>56</v>
      </c>
      <c r="O3" s="2" t="s">
        <v>57</v>
      </c>
      <c r="R3" s="63" t="s">
        <v>63</v>
      </c>
      <c r="S3" s="63" t="s">
        <v>58</v>
      </c>
      <c r="T3" s="10" t="s">
        <v>59</v>
      </c>
      <c r="U3" s="2" t="s">
        <v>60</v>
      </c>
      <c r="W3" s="36" t="s">
        <v>66</v>
      </c>
      <c r="X3" s="36" t="s">
        <v>58</v>
      </c>
      <c r="Y3" s="37" t="s">
        <v>67</v>
      </c>
      <c r="Z3" s="36" t="s">
        <v>68</v>
      </c>
      <c r="AA3" s="36" t="s">
        <v>69</v>
      </c>
      <c r="AB3" s="37" t="s">
        <v>70</v>
      </c>
      <c r="AC3" s="36" t="s">
        <v>71</v>
      </c>
      <c r="AD3" s="36" t="s">
        <v>118</v>
      </c>
      <c r="AF3" s="77" t="s">
        <v>66</v>
      </c>
      <c r="AG3" s="77" t="s">
        <v>58</v>
      </c>
      <c r="AH3" s="78" t="s">
        <v>67</v>
      </c>
      <c r="AI3" s="77" t="s">
        <v>68</v>
      </c>
      <c r="AJ3" s="77" t="s">
        <v>69</v>
      </c>
      <c r="AK3" s="78" t="s">
        <v>70</v>
      </c>
      <c r="AL3" s="77" t="s">
        <v>71</v>
      </c>
      <c r="AM3" s="77" t="s">
        <v>118</v>
      </c>
    </row>
    <row r="4" spans="2:39" ht="12.75" customHeight="1" x14ac:dyDescent="0.25">
      <c r="B4" s="67" t="s">
        <v>6</v>
      </c>
      <c r="C4" s="8" t="s">
        <v>7</v>
      </c>
      <c r="D4" s="3" t="s">
        <v>8</v>
      </c>
      <c r="E4" s="20">
        <v>4.7357950894166834E-12</v>
      </c>
      <c r="F4" s="21">
        <v>4.7357950894166834E-12</v>
      </c>
      <c r="G4" s="21">
        <v>4.7357950894166834E-12</v>
      </c>
      <c r="H4" s="22">
        <v>4.7357950894166834E-12</v>
      </c>
      <c r="J4" s="9"/>
      <c r="K4" s="8" t="s">
        <v>17</v>
      </c>
      <c r="L4" s="3" t="s">
        <v>23</v>
      </c>
      <c r="M4" s="46">
        <v>-5.0954162764127453E-9</v>
      </c>
      <c r="N4" s="46">
        <v>-2.6181945621922602</v>
      </c>
      <c r="O4" s="46">
        <v>-1.21976571386753E-3</v>
      </c>
      <c r="R4" s="3" t="s">
        <v>17</v>
      </c>
      <c r="S4" s="11" t="s">
        <v>18</v>
      </c>
      <c r="T4" s="12">
        <v>0.19944882381797874</v>
      </c>
      <c r="U4" s="13">
        <v>-0.20558219633369165</v>
      </c>
      <c r="W4" s="38" t="s">
        <v>81</v>
      </c>
      <c r="X4" s="38" t="s">
        <v>18</v>
      </c>
      <c r="Y4" s="38" t="s">
        <v>82</v>
      </c>
      <c r="Z4" s="40">
        <v>42398</v>
      </c>
      <c r="AA4" s="40">
        <v>42402</v>
      </c>
      <c r="AB4" s="40">
        <v>42409</v>
      </c>
      <c r="AC4" s="42">
        <v>-2.3900000000000002E-3</v>
      </c>
      <c r="AD4" s="82" t="b">
        <v>1</v>
      </c>
      <c r="AF4" s="76" t="s">
        <v>17</v>
      </c>
      <c r="AG4" s="76" t="s">
        <v>18</v>
      </c>
      <c r="AH4" s="76" t="s">
        <v>127</v>
      </c>
      <c r="AI4" s="81">
        <v>42648</v>
      </c>
      <c r="AJ4" s="81">
        <v>42650</v>
      </c>
      <c r="AK4" s="81">
        <v>42657</v>
      </c>
      <c r="AL4" s="82">
        <v>4.1000000000000003E-3</v>
      </c>
      <c r="AM4" s="82" t="b">
        <v>1</v>
      </c>
    </row>
    <row r="5" spans="2:39" ht="12.75" customHeight="1" x14ac:dyDescent="0.25">
      <c r="B5" s="67"/>
      <c r="C5" s="5" t="s">
        <v>7</v>
      </c>
      <c r="D5" s="4" t="s">
        <v>9</v>
      </c>
      <c r="E5" s="23">
        <v>-1.214306433183765E-12</v>
      </c>
      <c r="F5" s="24">
        <v>-1.214306433183765E-12</v>
      </c>
      <c r="G5" s="24">
        <v>-1.214306433183765E-12</v>
      </c>
      <c r="H5" s="25">
        <v>-1.214306433183765E-12</v>
      </c>
      <c r="J5" s="9"/>
      <c r="K5" s="5" t="s">
        <v>17</v>
      </c>
      <c r="L5" s="4" t="s">
        <v>24</v>
      </c>
      <c r="M5" s="15">
        <v>-1.0893093121565001</v>
      </c>
      <c r="N5" s="15">
        <v>-1.85427079010907</v>
      </c>
      <c r="O5" s="15">
        <v>-5.1963939488963502E-2</v>
      </c>
      <c r="R5" s="4" t="s">
        <v>17</v>
      </c>
      <c r="S5" s="14" t="s">
        <v>19</v>
      </c>
      <c r="T5" s="15">
        <v>0.20104346789191069</v>
      </c>
      <c r="U5" s="16">
        <v>-0.20401928847343409</v>
      </c>
      <c r="W5" s="38" t="s">
        <v>81</v>
      </c>
      <c r="X5" s="38" t="s">
        <v>19</v>
      </c>
      <c r="Y5" s="38" t="s">
        <v>83</v>
      </c>
      <c r="Z5" s="40">
        <v>42398</v>
      </c>
      <c r="AA5" s="40">
        <v>42402</v>
      </c>
      <c r="AB5" s="40">
        <v>42416</v>
      </c>
      <c r="AC5" s="42">
        <v>-2.3900000000000002E-3</v>
      </c>
      <c r="AD5" s="79" t="b">
        <v>1</v>
      </c>
      <c r="AF5" s="74" t="s">
        <v>17</v>
      </c>
      <c r="AG5" s="74" t="s">
        <v>19</v>
      </c>
      <c r="AH5" s="74" t="s">
        <v>128</v>
      </c>
      <c r="AI5" s="83">
        <v>42648</v>
      </c>
      <c r="AJ5" s="83">
        <v>42650</v>
      </c>
      <c r="AK5" s="83">
        <v>42664</v>
      </c>
      <c r="AL5" s="79">
        <v>4.1000000000000003E-3</v>
      </c>
      <c r="AM5" s="79" t="b">
        <v>1</v>
      </c>
    </row>
    <row r="6" spans="2:39" ht="12.75" customHeight="1" x14ac:dyDescent="0.25">
      <c r="B6" s="67"/>
      <c r="C6" s="5" t="s">
        <v>7</v>
      </c>
      <c r="D6" s="4" t="s">
        <v>10</v>
      </c>
      <c r="E6" s="23">
        <v>-9.0812773967385851E-12</v>
      </c>
      <c r="F6" s="24">
        <v>-9.0812773967385851E-12</v>
      </c>
      <c r="G6" s="24">
        <v>-9.0812773967385851E-12</v>
      </c>
      <c r="H6" s="25">
        <v>-9.0812773967385851E-12</v>
      </c>
      <c r="J6" s="9"/>
      <c r="K6" s="5" t="s">
        <v>17</v>
      </c>
      <c r="L6" s="4" t="s">
        <v>25</v>
      </c>
      <c r="M6" s="15">
        <v>-0.72005881130669702</v>
      </c>
      <c r="N6" s="15">
        <v>-1.2888595795776301</v>
      </c>
      <c r="O6" s="15">
        <v>5.127786635349043E-2</v>
      </c>
      <c r="R6" s="4" t="s">
        <v>17</v>
      </c>
      <c r="S6" s="14" t="s">
        <v>20</v>
      </c>
      <c r="T6" s="15">
        <v>0.20263819574643793</v>
      </c>
      <c r="U6" s="16">
        <v>-0.20245629945903065</v>
      </c>
      <c r="W6" s="38" t="s">
        <v>81</v>
      </c>
      <c r="X6" s="38" t="s">
        <v>20</v>
      </c>
      <c r="Y6" s="38" t="s">
        <v>84</v>
      </c>
      <c r="Z6" s="40">
        <v>42398</v>
      </c>
      <c r="AA6" s="40">
        <v>42402</v>
      </c>
      <c r="AB6" s="40">
        <v>42423</v>
      </c>
      <c r="AC6" s="42">
        <v>-2.3900000000000002E-3</v>
      </c>
      <c r="AD6" s="79" t="b">
        <v>1</v>
      </c>
      <c r="AF6" s="74" t="s">
        <v>17</v>
      </c>
      <c r="AG6" s="74" t="s">
        <v>20</v>
      </c>
      <c r="AH6" s="74" t="s">
        <v>129</v>
      </c>
      <c r="AI6" s="83">
        <v>42648</v>
      </c>
      <c r="AJ6" s="83">
        <v>42650</v>
      </c>
      <c r="AK6" s="83">
        <v>42671</v>
      </c>
      <c r="AL6" s="79">
        <v>4.1000000000000003E-3</v>
      </c>
      <c r="AM6" s="79" t="b">
        <v>1</v>
      </c>
    </row>
    <row r="7" spans="2:39" ht="12.75" customHeight="1" x14ac:dyDescent="0.25">
      <c r="B7" s="67"/>
      <c r="C7" s="5" t="s">
        <v>7</v>
      </c>
      <c r="D7" s="4" t="s">
        <v>11</v>
      </c>
      <c r="E7" s="23">
        <v>-2.4112656316077619E-12</v>
      </c>
      <c r="F7" s="24">
        <v>-2.4112656316077619E-12</v>
      </c>
      <c r="G7" s="24">
        <v>-2.4112656316077619E-12</v>
      </c>
      <c r="H7" s="25">
        <v>-2.4112656316077619E-12</v>
      </c>
      <c r="J7" s="9"/>
      <c r="K7" s="5" t="s">
        <v>17</v>
      </c>
      <c r="L7" s="4" t="s">
        <v>26</v>
      </c>
      <c r="M7" s="15">
        <v>-0.63738969184098704</v>
      </c>
      <c r="N7" s="15">
        <v>-1.08706143835405</v>
      </c>
      <c r="O7" s="15">
        <v>-2.7600939195657901E-2</v>
      </c>
      <c r="R7" s="4" t="s">
        <v>17</v>
      </c>
      <c r="S7" s="14" t="s">
        <v>21</v>
      </c>
      <c r="T7" s="15">
        <v>5.7383178070358198E-9</v>
      </c>
      <c r="U7" s="16">
        <v>-9.6493819878862297E-9</v>
      </c>
      <c r="W7" s="38" t="s">
        <v>81</v>
      </c>
      <c r="X7" s="38" t="s">
        <v>21</v>
      </c>
      <c r="Y7" s="38" t="s">
        <v>85</v>
      </c>
      <c r="Z7" s="40">
        <v>42398</v>
      </c>
      <c r="AA7" s="40">
        <v>42402</v>
      </c>
      <c r="AB7" s="40">
        <v>42431</v>
      </c>
      <c r="AC7" s="42">
        <v>-2.3799999999999997E-3</v>
      </c>
      <c r="AD7" s="79" t="b">
        <v>1</v>
      </c>
      <c r="AF7" s="74" t="s">
        <v>17</v>
      </c>
      <c r="AG7" s="74" t="s">
        <v>21</v>
      </c>
      <c r="AH7" s="74" t="s">
        <v>130</v>
      </c>
      <c r="AI7" s="83">
        <v>42648</v>
      </c>
      <c r="AJ7" s="83">
        <v>42650</v>
      </c>
      <c r="AK7" s="83">
        <v>42681</v>
      </c>
      <c r="AL7" s="79">
        <v>4.13E-3</v>
      </c>
      <c r="AM7" s="79" t="b">
        <v>1</v>
      </c>
    </row>
    <row r="8" spans="2:39" ht="12.75" customHeight="1" x14ac:dyDescent="0.25">
      <c r="B8" s="67"/>
      <c r="C8" s="5" t="s">
        <v>7</v>
      </c>
      <c r="D8" s="4" t="s">
        <v>12</v>
      </c>
      <c r="E8" s="23">
        <v>-4.8398784979752918E-12</v>
      </c>
      <c r="F8" s="24">
        <v>-4.8398784979752918E-12</v>
      </c>
      <c r="G8" s="24">
        <v>-4.8398784979752918E-12</v>
      </c>
      <c r="H8" s="25">
        <v>-4.8398784979752918E-12</v>
      </c>
      <c r="J8" s="9"/>
      <c r="K8" s="5" t="s">
        <v>17</v>
      </c>
      <c r="L8" s="4" t="s">
        <v>27</v>
      </c>
      <c r="M8" s="15">
        <v>-0.83342808774667998</v>
      </c>
      <c r="N8" s="15">
        <v>-1.21131993194127</v>
      </c>
      <c r="O8" s="15">
        <v>-0.32097828831465702</v>
      </c>
      <c r="R8" s="4" t="s">
        <v>17</v>
      </c>
      <c r="S8" s="14" t="s">
        <v>23</v>
      </c>
      <c r="T8" s="15">
        <v>2.5760643618255585E-12</v>
      </c>
      <c r="U8" s="16">
        <v>2.5934115965853266E-12</v>
      </c>
      <c r="W8" s="38" t="s">
        <v>81</v>
      </c>
      <c r="X8" s="38" t="s">
        <v>23</v>
      </c>
      <c r="Y8" s="38" t="s">
        <v>86</v>
      </c>
      <c r="Z8" s="40">
        <v>42398</v>
      </c>
      <c r="AA8" s="40">
        <v>42402</v>
      </c>
      <c r="AB8" s="40">
        <v>42464</v>
      </c>
      <c r="AC8" s="42">
        <v>-2.7300000000000002E-3</v>
      </c>
      <c r="AD8" s="79" t="b">
        <v>1</v>
      </c>
      <c r="AF8" s="74" t="s">
        <v>17</v>
      </c>
      <c r="AG8" s="74" t="s">
        <v>23</v>
      </c>
      <c r="AH8" s="74" t="s">
        <v>131</v>
      </c>
      <c r="AI8" s="83">
        <v>42648</v>
      </c>
      <c r="AJ8" s="83">
        <v>42650</v>
      </c>
      <c r="AK8" s="83">
        <v>42711</v>
      </c>
      <c r="AL8" s="79">
        <v>4.2700000000000004E-3</v>
      </c>
      <c r="AM8" s="79" t="b">
        <v>1</v>
      </c>
    </row>
    <row r="9" spans="2:39" ht="12.75" customHeight="1" x14ac:dyDescent="0.25">
      <c r="B9" s="67"/>
      <c r="C9" s="5" t="s">
        <v>7</v>
      </c>
      <c r="D9" s="4" t="s">
        <v>13</v>
      </c>
      <c r="E9" s="23">
        <v>2.7408630920433552E-12</v>
      </c>
      <c r="F9" s="24">
        <v>2.7408630920433552E-12</v>
      </c>
      <c r="G9" s="24">
        <v>2.7408630920433552E-12</v>
      </c>
      <c r="H9" s="25">
        <v>2.7408630920433552E-12</v>
      </c>
      <c r="J9" s="9"/>
      <c r="K9" s="5" t="s">
        <v>17</v>
      </c>
      <c r="L9" s="4" t="s">
        <v>28</v>
      </c>
      <c r="M9" s="15">
        <v>-0.45318939140948999</v>
      </c>
      <c r="N9" s="15">
        <v>-0.77596276272282005</v>
      </c>
      <c r="O9" s="15">
        <v>-1.54843921274525E-2</v>
      </c>
      <c r="R9" s="4" t="s">
        <v>17</v>
      </c>
      <c r="S9" s="14" t="s">
        <v>24</v>
      </c>
      <c r="T9" s="15">
        <v>-2.3765711620882257E-12</v>
      </c>
      <c r="U9" s="16">
        <v>-1.1076209394111913E-11</v>
      </c>
      <c r="W9" s="38" t="s">
        <v>7</v>
      </c>
      <c r="X9" s="38" t="s">
        <v>8</v>
      </c>
      <c r="Y9" s="38" t="s">
        <v>72</v>
      </c>
      <c r="Z9" s="40">
        <v>42443</v>
      </c>
      <c r="AA9" s="40">
        <v>42445</v>
      </c>
      <c r="AB9" s="40">
        <v>42487</v>
      </c>
      <c r="AC9" s="42">
        <v>-3.5299999999999997E-3</v>
      </c>
      <c r="AD9" s="79" t="b">
        <v>1</v>
      </c>
      <c r="AF9" s="74" t="s">
        <v>17</v>
      </c>
      <c r="AG9" s="74" t="s">
        <v>24</v>
      </c>
      <c r="AH9" s="74" t="s">
        <v>132</v>
      </c>
      <c r="AI9" s="83">
        <v>42648</v>
      </c>
      <c r="AJ9" s="83">
        <v>42650</v>
      </c>
      <c r="AK9" s="83">
        <v>42744</v>
      </c>
      <c r="AL9" s="79">
        <v>4.6899999999999997E-3</v>
      </c>
      <c r="AM9" s="79" t="b">
        <v>1</v>
      </c>
    </row>
    <row r="10" spans="2:39" ht="12.75" customHeight="1" x14ac:dyDescent="0.25">
      <c r="B10" s="67"/>
      <c r="C10" s="5" t="s">
        <v>7</v>
      </c>
      <c r="D10" s="4" t="s">
        <v>14</v>
      </c>
      <c r="E10" s="23">
        <v>-1.1986939218999737E-11</v>
      </c>
      <c r="F10" s="24">
        <v>-1.1986939218999737E-11</v>
      </c>
      <c r="G10" s="24">
        <v>-1.1986939218999737E-11</v>
      </c>
      <c r="H10" s="25">
        <v>-1.1986939218999737E-11</v>
      </c>
      <c r="J10" s="9"/>
      <c r="K10" s="5" t="s">
        <v>17</v>
      </c>
      <c r="L10" s="4" t="s">
        <v>29</v>
      </c>
      <c r="M10" s="15">
        <v>-0.41835055137676602</v>
      </c>
      <c r="N10" s="15">
        <v>-0.70000847671862998</v>
      </c>
      <c r="O10" s="15">
        <v>-3.6401193205881997E-2</v>
      </c>
      <c r="R10" s="4" t="s">
        <v>17</v>
      </c>
      <c r="S10" s="14" t="s">
        <v>25</v>
      </c>
      <c r="T10" s="15">
        <v>-1.2784912017949068E-11</v>
      </c>
      <c r="U10" s="16">
        <v>-1.2802259252708836E-11</v>
      </c>
      <c r="W10" s="38" t="s">
        <v>7</v>
      </c>
      <c r="X10" s="38" t="s">
        <v>9</v>
      </c>
      <c r="Y10" s="38" t="s">
        <v>73</v>
      </c>
      <c r="Z10" s="40">
        <v>42485</v>
      </c>
      <c r="AA10" s="40">
        <v>42487</v>
      </c>
      <c r="AB10" s="40">
        <v>42529</v>
      </c>
      <c r="AC10" s="42">
        <v>-3.65E-3</v>
      </c>
      <c r="AD10" s="79" t="b">
        <v>1</v>
      </c>
      <c r="AF10" s="74" t="s">
        <v>17</v>
      </c>
      <c r="AG10" s="74" t="s">
        <v>25</v>
      </c>
      <c r="AH10" s="74" t="s">
        <v>133</v>
      </c>
      <c r="AI10" s="83">
        <v>42648</v>
      </c>
      <c r="AJ10" s="83">
        <v>42650</v>
      </c>
      <c r="AK10" s="83">
        <v>42773</v>
      </c>
      <c r="AL10" s="79">
        <v>4.9899999999999996E-3</v>
      </c>
      <c r="AM10" s="79" t="b">
        <v>1</v>
      </c>
    </row>
    <row r="11" spans="2:39" ht="12.75" customHeight="1" x14ac:dyDescent="0.25">
      <c r="B11" s="67"/>
      <c r="C11" s="5" t="s">
        <v>7</v>
      </c>
      <c r="D11" s="4" t="s">
        <v>15</v>
      </c>
      <c r="E11" s="23">
        <v>-1.3574211199518516E-11</v>
      </c>
      <c r="F11" s="24">
        <v>-1.3574211199518516E-11</v>
      </c>
      <c r="G11" s="24">
        <v>-1.3574211199518516E-11</v>
      </c>
      <c r="H11" s="25">
        <v>-1.3574211199518516E-11</v>
      </c>
      <c r="J11" s="9"/>
      <c r="K11" s="5" t="s">
        <v>17</v>
      </c>
      <c r="L11" s="4" t="s">
        <v>30</v>
      </c>
      <c r="M11" s="15">
        <v>-0.32722054399025002</v>
      </c>
      <c r="N11" s="15">
        <v>-0.577945910175794</v>
      </c>
      <c r="O11" s="15">
        <v>1.2781934466089481E-2</v>
      </c>
      <c r="R11" s="4" t="s">
        <v>17</v>
      </c>
      <c r="S11" s="14" t="s">
        <v>26</v>
      </c>
      <c r="T11" s="15">
        <v>-4.4148712463609741E-12</v>
      </c>
      <c r="U11" s="16">
        <v>8.8470897274817162E-13</v>
      </c>
      <c r="W11" s="38" t="s">
        <v>7</v>
      </c>
      <c r="X11" s="38" t="s">
        <v>10</v>
      </c>
      <c r="Y11" s="38" t="s">
        <v>74</v>
      </c>
      <c r="Z11" s="40">
        <v>42527</v>
      </c>
      <c r="AA11" s="40">
        <v>42529</v>
      </c>
      <c r="AB11" s="40">
        <v>42578</v>
      </c>
      <c r="AC11" s="42">
        <v>-4.2100000000000002E-3</v>
      </c>
      <c r="AD11" s="79" t="b">
        <v>1</v>
      </c>
      <c r="AF11" s="74" t="s">
        <v>17</v>
      </c>
      <c r="AG11" s="74" t="s">
        <v>26</v>
      </c>
      <c r="AH11" s="74" t="s">
        <v>134</v>
      </c>
      <c r="AI11" s="83">
        <v>42648</v>
      </c>
      <c r="AJ11" s="83">
        <v>42650</v>
      </c>
      <c r="AK11" s="83">
        <v>42801</v>
      </c>
      <c r="AL11" s="79">
        <v>5.1600000000000005E-3</v>
      </c>
      <c r="AM11" s="79" t="b">
        <v>1</v>
      </c>
    </row>
    <row r="12" spans="2:39" ht="12.75" customHeight="1" x14ac:dyDescent="0.25">
      <c r="B12" s="67"/>
      <c r="C12" s="5" t="s">
        <v>7</v>
      </c>
      <c r="D12" s="4" t="s">
        <v>16</v>
      </c>
      <c r="E12" s="23">
        <v>-1.960237527853792E-12</v>
      </c>
      <c r="F12" s="24">
        <v>-1.960237527853792E-12</v>
      </c>
      <c r="G12" s="24">
        <v>-1.960237527853792E-12</v>
      </c>
      <c r="H12" s="25">
        <v>-1.960237527853792E-12</v>
      </c>
      <c r="J12" s="9"/>
      <c r="K12" s="5" t="s">
        <v>17</v>
      </c>
      <c r="L12" s="4" t="s">
        <v>31</v>
      </c>
      <c r="M12" s="15">
        <v>-0.31265805033991201</v>
      </c>
      <c r="N12" s="15">
        <v>-0.53855527465965203</v>
      </c>
      <c r="O12" s="15">
        <v>-6.3244020394878997E-3</v>
      </c>
      <c r="R12" s="4" t="s">
        <v>17</v>
      </c>
      <c r="S12" s="14" t="s">
        <v>27</v>
      </c>
      <c r="T12" s="15">
        <v>-5.8286708792820718E-12</v>
      </c>
      <c r="U12" s="16">
        <v>-5.8113236445223038E-12</v>
      </c>
      <c r="W12" s="38" t="s">
        <v>7</v>
      </c>
      <c r="X12" s="38" t="s">
        <v>11</v>
      </c>
      <c r="Y12" s="38" t="s">
        <v>75</v>
      </c>
      <c r="Z12" s="40">
        <v>42576</v>
      </c>
      <c r="AA12" s="40">
        <v>42578</v>
      </c>
      <c r="AB12" s="40">
        <v>42627</v>
      </c>
      <c r="AC12" s="42">
        <v>-4.3200000000000009E-3</v>
      </c>
      <c r="AD12" s="79" t="b">
        <v>1</v>
      </c>
      <c r="AF12" s="74" t="s">
        <v>17</v>
      </c>
      <c r="AG12" s="74" t="s">
        <v>27</v>
      </c>
      <c r="AH12" s="74" t="s">
        <v>135</v>
      </c>
      <c r="AI12" s="83">
        <v>42648</v>
      </c>
      <c r="AJ12" s="83">
        <v>42650</v>
      </c>
      <c r="AK12" s="83">
        <v>42832</v>
      </c>
      <c r="AL12" s="79">
        <v>5.3500000000000006E-3</v>
      </c>
      <c r="AM12" s="79" t="b">
        <v>1</v>
      </c>
    </row>
    <row r="13" spans="2:39" ht="12.75" customHeight="1" x14ac:dyDescent="0.25">
      <c r="B13" s="67"/>
      <c r="C13" s="5" t="s">
        <v>17</v>
      </c>
      <c r="D13" s="4" t="s">
        <v>18</v>
      </c>
      <c r="E13" s="23">
        <v>-4.8086534754077093E-11</v>
      </c>
      <c r="F13" s="24">
        <v>-4.8086534754077093E-11</v>
      </c>
      <c r="G13" s="24">
        <v>-4.8086534754077093E-11</v>
      </c>
      <c r="H13" s="25">
        <v>-4.8086534754077093E-11</v>
      </c>
      <c r="J13" s="9"/>
      <c r="K13" s="5" t="s">
        <v>17</v>
      </c>
      <c r="L13" s="4" t="s">
        <v>32</v>
      </c>
      <c r="M13" s="15">
        <v>-0.267924954064237</v>
      </c>
      <c r="N13" s="15">
        <v>-0.47283853543538301</v>
      </c>
      <c r="O13" s="15">
        <v>9.9532941312280993E-3</v>
      </c>
      <c r="R13" s="4" t="s">
        <v>17</v>
      </c>
      <c r="S13" s="14" t="s">
        <v>28</v>
      </c>
      <c r="T13" s="15">
        <v>-6.7133798520302435E-12</v>
      </c>
      <c r="U13" s="16">
        <v>-6.7220534694101275E-12</v>
      </c>
      <c r="W13" s="38" t="s">
        <v>7</v>
      </c>
      <c r="X13" s="38" t="s">
        <v>12</v>
      </c>
      <c r="Y13" s="38" t="s">
        <v>76</v>
      </c>
      <c r="Z13" s="40">
        <v>42625</v>
      </c>
      <c r="AA13" s="40">
        <v>42627</v>
      </c>
      <c r="AB13" s="40">
        <v>42669</v>
      </c>
      <c r="AC13" s="42">
        <v>-4.4900000000000009E-3</v>
      </c>
      <c r="AD13" s="79" t="b">
        <v>1</v>
      </c>
      <c r="AF13" s="74" t="s">
        <v>17</v>
      </c>
      <c r="AG13" s="74" t="s">
        <v>28</v>
      </c>
      <c r="AH13" s="74" t="s">
        <v>136</v>
      </c>
      <c r="AI13" s="83">
        <v>42648</v>
      </c>
      <c r="AJ13" s="83">
        <v>42650</v>
      </c>
      <c r="AK13" s="83">
        <v>42863</v>
      </c>
      <c r="AL13" s="79">
        <v>5.5000000000000005E-3</v>
      </c>
      <c r="AM13" s="79" t="b">
        <v>1</v>
      </c>
    </row>
    <row r="14" spans="2:39" ht="12.75" customHeight="1" x14ac:dyDescent="0.25">
      <c r="B14" s="67"/>
      <c r="C14" s="5" t="s">
        <v>17</v>
      </c>
      <c r="D14" s="4" t="s">
        <v>19</v>
      </c>
      <c r="E14" s="23">
        <v>9.0118884576995129E-12</v>
      </c>
      <c r="F14" s="24">
        <v>9.0118884576995129E-12</v>
      </c>
      <c r="G14" s="24">
        <v>9.0118884576995129E-12</v>
      </c>
      <c r="H14" s="25">
        <v>9.0118884576995129E-12</v>
      </c>
      <c r="J14" s="9"/>
      <c r="K14" s="5" t="s">
        <v>17</v>
      </c>
      <c r="L14" s="4" t="s">
        <v>33</v>
      </c>
      <c r="M14" s="15">
        <v>-0.60273336821785295</v>
      </c>
      <c r="N14" s="15">
        <v>-0.79021650414213196</v>
      </c>
      <c r="O14" s="15">
        <v>-0.34849211671812003</v>
      </c>
      <c r="R14" s="4" t="s">
        <v>17</v>
      </c>
      <c r="S14" s="14" t="s">
        <v>29</v>
      </c>
      <c r="T14" s="15">
        <v>-4.7791631763161035E-12</v>
      </c>
      <c r="U14" s="16">
        <v>-4.7704895589362195E-12</v>
      </c>
      <c r="W14" s="38" t="s">
        <v>7</v>
      </c>
      <c r="X14" s="38" t="s">
        <v>13</v>
      </c>
      <c r="Y14" s="38" t="s">
        <v>77</v>
      </c>
      <c r="Z14" s="40">
        <v>42667</v>
      </c>
      <c r="AA14" s="40">
        <v>42669</v>
      </c>
      <c r="AB14" s="40">
        <v>42718</v>
      </c>
      <c r="AC14" s="42">
        <v>-4.5399999999999998E-3</v>
      </c>
      <c r="AD14" s="79" t="b">
        <v>1</v>
      </c>
      <c r="AF14" s="74" t="s">
        <v>17</v>
      </c>
      <c r="AG14" s="74" t="s">
        <v>29</v>
      </c>
      <c r="AH14" s="74" t="s">
        <v>137</v>
      </c>
      <c r="AI14" s="83">
        <v>42648</v>
      </c>
      <c r="AJ14" s="83">
        <v>42650</v>
      </c>
      <c r="AK14" s="83">
        <v>42893</v>
      </c>
      <c r="AL14" s="79">
        <v>5.6400000000000009E-3</v>
      </c>
      <c r="AM14" s="79" t="b">
        <v>1</v>
      </c>
    </row>
    <row r="15" spans="2:39" ht="12.75" customHeight="1" x14ac:dyDescent="0.25">
      <c r="B15" s="67"/>
      <c r="C15" s="5" t="s">
        <v>17</v>
      </c>
      <c r="D15" s="4" t="s">
        <v>20</v>
      </c>
      <c r="E15" s="23">
        <v>9.0075516490095708E-12</v>
      </c>
      <c r="F15" s="24">
        <v>9.0075516490095708E-12</v>
      </c>
      <c r="G15" s="24">
        <v>9.0075516490095708E-12</v>
      </c>
      <c r="H15" s="25">
        <v>9.0075516490095708E-12</v>
      </c>
      <c r="J15" s="9"/>
      <c r="K15" s="6" t="s">
        <v>17</v>
      </c>
      <c r="L15" s="7" t="s">
        <v>34</v>
      </c>
      <c r="M15" s="34">
        <v>-0.24182208117434939</v>
      </c>
      <c r="N15" s="18">
        <v>-0.39259691197477548</v>
      </c>
      <c r="O15" s="18">
        <v>-3.7064622122398583E-2</v>
      </c>
      <c r="R15" s="4" t="s">
        <v>17</v>
      </c>
      <c r="S15" s="14" t="s">
        <v>30</v>
      </c>
      <c r="T15" s="15">
        <v>-6.106226635438361E-12</v>
      </c>
      <c r="U15" s="16">
        <v>-6.106226635438361E-12</v>
      </c>
      <c r="W15" s="38" t="s">
        <v>7</v>
      </c>
      <c r="X15" s="38" t="s">
        <v>14</v>
      </c>
      <c r="Y15" s="38" t="s">
        <v>78</v>
      </c>
      <c r="Z15" s="40">
        <v>42716</v>
      </c>
      <c r="AA15" s="40">
        <v>42718</v>
      </c>
      <c r="AB15" s="40">
        <v>42760</v>
      </c>
      <c r="AC15" s="42">
        <v>-4.5700000000000011E-3</v>
      </c>
      <c r="AD15" s="79" t="b">
        <v>1</v>
      </c>
      <c r="AF15" s="74" t="s">
        <v>17</v>
      </c>
      <c r="AG15" s="74" t="s">
        <v>30</v>
      </c>
      <c r="AH15" s="74" t="s">
        <v>138</v>
      </c>
      <c r="AI15" s="83">
        <v>42648</v>
      </c>
      <c r="AJ15" s="83">
        <v>42650</v>
      </c>
      <c r="AK15" s="83">
        <v>42923</v>
      </c>
      <c r="AL15" s="79">
        <v>5.7800000000000004E-3</v>
      </c>
      <c r="AM15" s="79" t="b">
        <v>1</v>
      </c>
    </row>
    <row r="16" spans="2:39" ht="12.75" customHeight="1" x14ac:dyDescent="0.25">
      <c r="B16" s="67"/>
      <c r="C16" s="6" t="s">
        <v>17</v>
      </c>
      <c r="D16" s="7" t="s">
        <v>21</v>
      </c>
      <c r="E16" s="26">
        <v>5.9080344783080108E-11</v>
      </c>
      <c r="F16" s="27">
        <v>5.9080344783080108E-11</v>
      </c>
      <c r="G16" s="27">
        <v>5.9080344783080108E-11</v>
      </c>
      <c r="H16" s="28">
        <v>5.9080344783080108E-11</v>
      </c>
      <c r="J16" s="9"/>
      <c r="R16" s="4" t="s">
        <v>17</v>
      </c>
      <c r="S16" s="14" t="s">
        <v>31</v>
      </c>
      <c r="T16" s="15">
        <v>-7.9190126678341244E-12</v>
      </c>
      <c r="U16" s="16">
        <v>-7.9190126678341244E-12</v>
      </c>
      <c r="W16" s="38" t="s">
        <v>7</v>
      </c>
      <c r="X16" s="38" t="s">
        <v>15</v>
      </c>
      <c r="Y16" s="38" t="s">
        <v>79</v>
      </c>
      <c r="Z16" s="40">
        <v>42758</v>
      </c>
      <c r="AA16" s="40">
        <v>42760</v>
      </c>
      <c r="AB16" s="40">
        <v>42809</v>
      </c>
      <c r="AC16" s="42">
        <v>-4.5399999999999998E-3</v>
      </c>
      <c r="AD16" s="79" t="b">
        <v>1</v>
      </c>
      <c r="AF16" s="74" t="s">
        <v>17</v>
      </c>
      <c r="AG16" s="74" t="s">
        <v>31</v>
      </c>
      <c r="AH16" s="74" t="s">
        <v>139</v>
      </c>
      <c r="AI16" s="83">
        <v>42648</v>
      </c>
      <c r="AJ16" s="83">
        <v>42650</v>
      </c>
      <c r="AK16" s="83">
        <v>42954</v>
      </c>
      <c r="AL16" s="79">
        <v>5.9000000000000007E-3</v>
      </c>
      <c r="AM16" s="79" t="b">
        <v>1</v>
      </c>
    </row>
    <row r="17" spans="2:39" ht="12.75" customHeight="1" x14ac:dyDescent="0.25">
      <c r="B17" s="67" t="s">
        <v>22</v>
      </c>
      <c r="C17" s="8" t="s">
        <v>17</v>
      </c>
      <c r="D17" s="3" t="s">
        <v>23</v>
      </c>
      <c r="E17" s="29">
        <v>-1.2197634189367937E-3</v>
      </c>
      <c r="F17" s="30">
        <v>0.97073093711742831</v>
      </c>
      <c r="G17" s="29">
        <v>-1.2197634833991181E-3</v>
      </c>
      <c r="H17" s="30">
        <v>-1.2197634833991181E-3</v>
      </c>
      <c r="J17" s="9"/>
      <c r="K17" s="64" t="s">
        <v>62</v>
      </c>
      <c r="L17" s="65"/>
      <c r="M17" s="65"/>
      <c r="N17" s="65"/>
      <c r="O17" s="66"/>
      <c r="R17" s="4" t="s">
        <v>17</v>
      </c>
      <c r="S17" s="14" t="s">
        <v>32</v>
      </c>
      <c r="T17" s="15">
        <v>-3.8771069688081639E-12</v>
      </c>
      <c r="U17" s="16">
        <v>-3.8857805861880479E-12</v>
      </c>
      <c r="W17" s="38" t="s">
        <v>7</v>
      </c>
      <c r="X17" s="38" t="s">
        <v>16</v>
      </c>
      <c r="Y17" s="38" t="s">
        <v>80</v>
      </c>
      <c r="Z17" s="40">
        <v>42807</v>
      </c>
      <c r="AA17" s="40">
        <v>42809</v>
      </c>
      <c r="AB17" s="40">
        <v>42858</v>
      </c>
      <c r="AC17" s="42">
        <v>-4.4500000000000008E-3</v>
      </c>
      <c r="AD17" s="79" t="b">
        <v>1</v>
      </c>
      <c r="AF17" s="74" t="s">
        <v>17</v>
      </c>
      <c r="AG17" s="74" t="s">
        <v>32</v>
      </c>
      <c r="AH17" s="74" t="s">
        <v>140</v>
      </c>
      <c r="AI17" s="83">
        <v>42648</v>
      </c>
      <c r="AJ17" s="83">
        <v>42650</v>
      </c>
      <c r="AK17" s="83">
        <v>42985</v>
      </c>
      <c r="AL17" s="79">
        <v>6.0099999999999997E-3</v>
      </c>
      <c r="AM17" s="79" t="b">
        <v>1</v>
      </c>
    </row>
    <row r="18" spans="2:39" ht="12.75" customHeight="1" x14ac:dyDescent="0.25">
      <c r="B18" s="67"/>
      <c r="C18" s="5" t="s">
        <v>17</v>
      </c>
      <c r="D18" s="4" t="s">
        <v>24</v>
      </c>
      <c r="E18" s="23">
        <v>-5.1963937908005957E-2</v>
      </c>
      <c r="F18" s="24">
        <v>-8.6489773454090202E-2</v>
      </c>
      <c r="G18" s="23">
        <v>-5.196393795685577E-2</v>
      </c>
      <c r="H18" s="24">
        <v>-5.196393795685577E-2</v>
      </c>
      <c r="J18" s="9"/>
      <c r="K18" s="58" t="s">
        <v>1</v>
      </c>
      <c r="L18" s="59"/>
      <c r="M18" s="35" t="s">
        <v>55</v>
      </c>
      <c r="N18" s="35" t="s">
        <v>56</v>
      </c>
      <c r="O18" s="35" t="s">
        <v>57</v>
      </c>
      <c r="R18" s="4" t="s">
        <v>17</v>
      </c>
      <c r="S18" s="14" t="s">
        <v>33</v>
      </c>
      <c r="T18" s="15">
        <v>-1.8388068845354155E-12</v>
      </c>
      <c r="U18" s="16">
        <v>-1.8474805019152996E-12</v>
      </c>
      <c r="W18" s="38" t="s">
        <v>81</v>
      </c>
      <c r="X18" s="38" t="s">
        <v>24</v>
      </c>
      <c r="Y18" s="38" t="s">
        <v>87</v>
      </c>
      <c r="Z18" s="40">
        <v>42398</v>
      </c>
      <c r="AA18" s="40">
        <v>42402</v>
      </c>
      <c r="AB18" s="40">
        <v>42492</v>
      </c>
      <c r="AC18" s="42">
        <v>-2.9800000000000004E-3</v>
      </c>
      <c r="AD18" s="79" t="b">
        <v>1</v>
      </c>
      <c r="AF18" s="74" t="s">
        <v>17</v>
      </c>
      <c r="AG18" s="74" t="s">
        <v>33</v>
      </c>
      <c r="AH18" s="74" t="s">
        <v>141</v>
      </c>
      <c r="AI18" s="83">
        <v>42648</v>
      </c>
      <c r="AJ18" s="83">
        <v>42650</v>
      </c>
      <c r="AK18" s="83">
        <v>43018</v>
      </c>
      <c r="AL18" s="79">
        <v>6.11E-3</v>
      </c>
      <c r="AM18" s="79" t="b">
        <v>1</v>
      </c>
    </row>
    <row r="19" spans="2:39" ht="12.75" customHeight="1" x14ac:dyDescent="0.25">
      <c r="B19" s="67"/>
      <c r="C19" s="5" t="s">
        <v>17</v>
      </c>
      <c r="D19" s="4" t="s">
        <v>25</v>
      </c>
      <c r="E19" s="23">
        <v>5.1277867519497825E-2</v>
      </c>
      <c r="F19" s="24">
        <v>0.11784472836943571</v>
      </c>
      <c r="G19" s="23">
        <v>5.1277867493073649E-2</v>
      </c>
      <c r="H19" s="24">
        <v>5.1277867493073649E-2</v>
      </c>
      <c r="J19" s="9"/>
      <c r="K19" s="8" t="s">
        <v>17</v>
      </c>
      <c r="L19" s="3" t="s">
        <v>23</v>
      </c>
      <c r="M19" s="46">
        <v>-5.0954162764127453E-9</v>
      </c>
      <c r="N19" s="46">
        <v>-2.6181945621922602</v>
      </c>
      <c r="O19" s="46">
        <v>-1.21976571386753E-3</v>
      </c>
      <c r="R19" s="4" t="s">
        <v>17</v>
      </c>
      <c r="S19" s="14" t="s">
        <v>34</v>
      </c>
      <c r="T19" s="15">
        <v>-7.6033797313801443E-10</v>
      </c>
      <c r="U19" s="16">
        <v>-7.7751173555018482E-10</v>
      </c>
      <c r="W19" s="38" t="s">
        <v>81</v>
      </c>
      <c r="X19" s="38" t="s">
        <v>25</v>
      </c>
      <c r="Y19" s="38" t="s">
        <v>88</v>
      </c>
      <c r="Z19" s="40">
        <v>42398</v>
      </c>
      <c r="AA19" s="40">
        <v>42402</v>
      </c>
      <c r="AB19" s="40">
        <v>42523</v>
      </c>
      <c r="AC19" s="42">
        <v>-3.1600000000000005E-3</v>
      </c>
      <c r="AD19" s="42" t="b">
        <v>0</v>
      </c>
      <c r="AF19" s="74" t="s">
        <v>17</v>
      </c>
      <c r="AG19" s="74" t="s">
        <v>34</v>
      </c>
      <c r="AH19" s="74" t="s">
        <v>142</v>
      </c>
      <c r="AI19" s="83">
        <v>42648</v>
      </c>
      <c r="AJ19" s="83">
        <v>42650</v>
      </c>
      <c r="AK19" s="83">
        <v>43108</v>
      </c>
      <c r="AL19" s="79">
        <v>6.3899999999999998E-3</v>
      </c>
      <c r="AM19" s="79" t="b">
        <v>1</v>
      </c>
    </row>
    <row r="20" spans="2:39" ht="12.75" customHeight="1" x14ac:dyDescent="0.25">
      <c r="B20" s="67"/>
      <c r="C20" s="5" t="s">
        <v>17</v>
      </c>
      <c r="D20" s="4" t="s">
        <v>26</v>
      </c>
      <c r="E20" s="23">
        <v>-2.7600938268296411E-2</v>
      </c>
      <c r="F20" s="24">
        <v>0.16006959364129636</v>
      </c>
      <c r="G20" s="23">
        <v>-2.7600938297027769E-2</v>
      </c>
      <c r="H20" s="24">
        <v>-2.7600938297027769E-2</v>
      </c>
      <c r="J20" s="9"/>
      <c r="K20" s="5" t="s">
        <v>17</v>
      </c>
      <c r="L20" s="4" t="s">
        <v>24</v>
      </c>
      <c r="M20" s="15">
        <v>-1.0893093121565001</v>
      </c>
      <c r="N20" s="15">
        <v>-1.85427079010907</v>
      </c>
      <c r="O20" s="15">
        <v>-5.1963939488963502E-2</v>
      </c>
      <c r="R20" s="4" t="s">
        <v>17</v>
      </c>
      <c r="S20" s="14" t="s">
        <v>35</v>
      </c>
      <c r="T20" s="15">
        <v>-2.3523717695983493E-10</v>
      </c>
      <c r="U20" s="16">
        <v>-2.3819488048637538E-10</v>
      </c>
      <c r="W20" s="38" t="s">
        <v>81</v>
      </c>
      <c r="X20" s="38" t="s">
        <v>26</v>
      </c>
      <c r="Y20" s="38" t="s">
        <v>89</v>
      </c>
      <c r="Z20" s="40">
        <v>42398</v>
      </c>
      <c r="AA20" s="40">
        <v>42402</v>
      </c>
      <c r="AB20" s="40">
        <v>42555</v>
      </c>
      <c r="AC20" s="42">
        <v>-3.3499999999999997E-3</v>
      </c>
      <c r="AD20" s="79" t="b">
        <v>0</v>
      </c>
      <c r="AF20" s="74" t="s">
        <v>17</v>
      </c>
      <c r="AG20" s="74" t="s">
        <v>35</v>
      </c>
      <c r="AH20" s="74" t="s">
        <v>143</v>
      </c>
      <c r="AI20" s="83">
        <v>42648</v>
      </c>
      <c r="AJ20" s="83">
        <v>42650</v>
      </c>
      <c r="AK20" s="83">
        <v>43199</v>
      </c>
      <c r="AL20" s="79">
        <v>6.6600000000000001E-3</v>
      </c>
      <c r="AM20" s="79" t="b">
        <v>1</v>
      </c>
    </row>
    <row r="21" spans="2:39" ht="12.75" customHeight="1" x14ac:dyDescent="0.25">
      <c r="B21" s="67"/>
      <c r="C21" s="5" t="s">
        <v>17</v>
      </c>
      <c r="D21" s="4" t="s">
        <v>27</v>
      </c>
      <c r="E21" s="23">
        <v>-0.32097828753945273</v>
      </c>
      <c r="F21" s="24">
        <v>-0.3223209289572766</v>
      </c>
      <c r="G21" s="23">
        <v>-0.32097828756141</v>
      </c>
      <c r="H21" s="24">
        <v>-0.32097828756140567</v>
      </c>
      <c r="J21" s="9"/>
      <c r="K21" s="5" t="s">
        <v>17</v>
      </c>
      <c r="L21" s="4" t="s">
        <v>25</v>
      </c>
      <c r="M21" s="15">
        <v>-0.72005881130669702</v>
      </c>
      <c r="N21" s="15">
        <v>-1.2888595795776301</v>
      </c>
      <c r="O21" s="15">
        <v>5.127786635349043E-2</v>
      </c>
      <c r="R21" s="4" t="s">
        <v>17</v>
      </c>
      <c r="S21" s="14" t="s">
        <v>36</v>
      </c>
      <c r="T21" s="15">
        <v>-9.6346541855751866E-11</v>
      </c>
      <c r="U21" s="16">
        <v>-9.7595542758455167E-11</v>
      </c>
      <c r="W21" s="38" t="s">
        <v>81</v>
      </c>
      <c r="X21" s="38" t="s">
        <v>27</v>
      </c>
      <c r="Y21" s="38" t="s">
        <v>90</v>
      </c>
      <c r="Z21" s="40">
        <v>42398</v>
      </c>
      <c r="AA21" s="40">
        <v>42402</v>
      </c>
      <c r="AB21" s="40">
        <v>42584</v>
      </c>
      <c r="AC21" s="42">
        <v>-3.4599999999999995E-3</v>
      </c>
      <c r="AD21" s="79" t="b">
        <v>0</v>
      </c>
      <c r="AF21" s="74" t="s">
        <v>17</v>
      </c>
      <c r="AG21" s="74" t="s">
        <v>36</v>
      </c>
      <c r="AH21" s="74" t="s">
        <v>144</v>
      </c>
      <c r="AI21" s="83">
        <v>42648</v>
      </c>
      <c r="AJ21" s="83">
        <v>42650</v>
      </c>
      <c r="AK21" s="83">
        <v>43290</v>
      </c>
      <c r="AL21" s="79">
        <v>6.8799999999999998E-3</v>
      </c>
      <c r="AM21" s="79" t="b">
        <v>1</v>
      </c>
    </row>
    <row r="22" spans="2:39" ht="12.75" customHeight="1" x14ac:dyDescent="0.25">
      <c r="B22" s="67"/>
      <c r="C22" s="5" t="s">
        <v>17</v>
      </c>
      <c r="D22" s="4" t="s">
        <v>28</v>
      </c>
      <c r="E22" s="23">
        <v>-1.5484391463192228E-2</v>
      </c>
      <c r="F22" s="24">
        <v>7.1687001534188541E-3</v>
      </c>
      <c r="G22" s="23">
        <v>-1.5484391480079761E-2</v>
      </c>
      <c r="H22" s="24">
        <v>-1.5484391480079761E-2</v>
      </c>
      <c r="J22" s="9"/>
      <c r="K22" s="5" t="s">
        <v>17</v>
      </c>
      <c r="L22" s="4" t="s">
        <v>26</v>
      </c>
      <c r="M22" s="15">
        <v>-0.63738969184098704</v>
      </c>
      <c r="N22" s="15">
        <v>-1.08706143835405</v>
      </c>
      <c r="O22" s="15">
        <v>-2.7600939195657901E-2</v>
      </c>
      <c r="R22" s="4" t="s">
        <v>17</v>
      </c>
      <c r="S22" s="14" t="s">
        <v>37</v>
      </c>
      <c r="T22" s="15">
        <v>0.61307727745704876</v>
      </c>
      <c r="U22" s="16">
        <v>0.61307727745681451</v>
      </c>
      <c r="W22" s="38" t="s">
        <v>81</v>
      </c>
      <c r="X22" s="38" t="s">
        <v>28</v>
      </c>
      <c r="Y22" s="38" t="s">
        <v>91</v>
      </c>
      <c r="Z22" s="40">
        <v>42398</v>
      </c>
      <c r="AA22" s="40">
        <v>42402</v>
      </c>
      <c r="AB22" s="40">
        <v>42615</v>
      </c>
      <c r="AC22" s="42">
        <v>-3.6099999999999999E-3</v>
      </c>
      <c r="AD22" s="79" t="b">
        <v>0</v>
      </c>
      <c r="AF22" s="74" t="s">
        <v>17</v>
      </c>
      <c r="AG22" s="74" t="s">
        <v>37</v>
      </c>
      <c r="AH22" s="74" t="s">
        <v>145</v>
      </c>
      <c r="AI22" s="83">
        <v>42648</v>
      </c>
      <c r="AJ22" s="83">
        <v>42650</v>
      </c>
      <c r="AK22" s="83">
        <v>43382</v>
      </c>
      <c r="AL22" s="79">
        <v>7.0900000000000008E-3</v>
      </c>
      <c r="AM22" s="79" t="b">
        <v>1</v>
      </c>
    </row>
    <row r="23" spans="2:39" ht="12.75" customHeight="1" x14ac:dyDescent="0.25">
      <c r="B23" s="67"/>
      <c r="C23" s="5" t="s">
        <v>17</v>
      </c>
      <c r="D23" s="4" t="s">
        <v>29</v>
      </c>
      <c r="E23" s="23">
        <v>-3.6401192629298938E-2</v>
      </c>
      <c r="F23" s="24">
        <v>-5.8859805131174919E-3</v>
      </c>
      <c r="G23" s="23">
        <v>-3.6401192642404774E-2</v>
      </c>
      <c r="H23" s="24">
        <v>-3.6401192642387427E-2</v>
      </c>
      <c r="J23" s="9"/>
      <c r="K23" s="5" t="s">
        <v>17</v>
      </c>
      <c r="L23" s="4" t="s">
        <v>27</v>
      </c>
      <c r="M23" s="15">
        <v>-0.83342808774667998</v>
      </c>
      <c r="N23" s="15">
        <v>-1.21131993194127</v>
      </c>
      <c r="O23" s="15">
        <v>-0.32097828831465702</v>
      </c>
      <c r="R23" s="4" t="s">
        <v>17</v>
      </c>
      <c r="S23" s="14" t="s">
        <v>38</v>
      </c>
      <c r="T23" s="15">
        <v>-9.4542429440735987E-13</v>
      </c>
      <c r="U23" s="16">
        <v>6.591949208711867E-13</v>
      </c>
      <c r="W23" s="38" t="s">
        <v>81</v>
      </c>
      <c r="X23" s="38" t="s">
        <v>29</v>
      </c>
      <c r="Y23" s="38" t="s">
        <v>92</v>
      </c>
      <c r="Z23" s="40">
        <v>42398</v>
      </c>
      <c r="AA23" s="40">
        <v>42402</v>
      </c>
      <c r="AB23" s="40">
        <v>42646</v>
      </c>
      <c r="AC23" s="42">
        <v>-3.7099999999999998E-3</v>
      </c>
      <c r="AD23" s="79" t="b">
        <v>0</v>
      </c>
      <c r="AF23" s="74" t="s">
        <v>17</v>
      </c>
      <c r="AG23" s="74" t="s">
        <v>38</v>
      </c>
      <c r="AH23" s="74" t="s">
        <v>146</v>
      </c>
      <c r="AI23" s="83">
        <v>42648</v>
      </c>
      <c r="AJ23" s="83">
        <v>42650</v>
      </c>
      <c r="AK23" s="83">
        <v>43745</v>
      </c>
      <c r="AL23" s="79">
        <v>7.8600000000000007E-3</v>
      </c>
      <c r="AM23" s="79" t="b">
        <v>1</v>
      </c>
    </row>
    <row r="24" spans="2:39" ht="12.75" customHeight="1" x14ac:dyDescent="0.25">
      <c r="B24" s="67"/>
      <c r="C24" s="5" t="s">
        <v>17</v>
      </c>
      <c r="D24" s="4" t="s">
        <v>30</v>
      </c>
      <c r="E24" s="23">
        <v>1.2781934979545946E-2</v>
      </c>
      <c r="F24" s="24">
        <v>1.4333264037463822E-2</v>
      </c>
      <c r="G24" s="23">
        <v>1.2781934967879931E-2</v>
      </c>
      <c r="H24" s="24">
        <v>1.2781934967875594E-2</v>
      </c>
      <c r="J24" s="9"/>
      <c r="K24" s="5" t="s">
        <v>17</v>
      </c>
      <c r="L24" s="4" t="s">
        <v>28</v>
      </c>
      <c r="M24" s="15">
        <v>-0.45318939140948999</v>
      </c>
      <c r="N24" s="15">
        <v>-0.77596276272282005</v>
      </c>
      <c r="O24" s="15">
        <v>-1.54843921274525E-2</v>
      </c>
      <c r="R24" s="4" t="s">
        <v>17</v>
      </c>
      <c r="S24" s="14" t="s">
        <v>39</v>
      </c>
      <c r="T24" s="15">
        <v>-6.5052130349130266E-13</v>
      </c>
      <c r="U24" s="16">
        <v>-3.3827107781547738E-13</v>
      </c>
      <c r="W24" s="38" t="s">
        <v>81</v>
      </c>
      <c r="X24" s="38" t="s">
        <v>30</v>
      </c>
      <c r="Y24" s="38" t="s">
        <v>93</v>
      </c>
      <c r="Z24" s="40">
        <v>42398</v>
      </c>
      <c r="AA24" s="40">
        <v>42402</v>
      </c>
      <c r="AB24" s="40">
        <v>42676</v>
      </c>
      <c r="AC24" s="42">
        <v>-3.8E-3</v>
      </c>
      <c r="AD24" s="79" t="b">
        <v>0</v>
      </c>
      <c r="AF24" s="74" t="s">
        <v>17</v>
      </c>
      <c r="AG24" s="74" t="s">
        <v>39</v>
      </c>
      <c r="AH24" s="74" t="s">
        <v>147</v>
      </c>
      <c r="AI24" s="83">
        <v>42648</v>
      </c>
      <c r="AJ24" s="83">
        <v>42650</v>
      </c>
      <c r="AK24" s="83">
        <v>44111</v>
      </c>
      <c r="AL24" s="79">
        <v>8.6E-3</v>
      </c>
      <c r="AM24" s="79" t="b">
        <v>1</v>
      </c>
    </row>
    <row r="25" spans="2:39" ht="12.75" customHeight="1" x14ac:dyDescent="0.25">
      <c r="B25" s="67"/>
      <c r="C25" s="5" t="s">
        <v>17</v>
      </c>
      <c r="D25" s="4" t="s">
        <v>31</v>
      </c>
      <c r="E25" s="23">
        <v>-6.3244015767027068E-3</v>
      </c>
      <c r="F25" s="24">
        <v>-2.2140041148295195E-3</v>
      </c>
      <c r="G25" s="23">
        <v>-6.3244015872194678E-3</v>
      </c>
      <c r="H25" s="24">
        <v>-6.3244015872238046E-3</v>
      </c>
      <c r="J25" s="9"/>
      <c r="K25" s="5" t="s">
        <v>17</v>
      </c>
      <c r="L25" s="4" t="s">
        <v>29</v>
      </c>
      <c r="M25" s="15">
        <v>-0.41835055137676602</v>
      </c>
      <c r="N25" s="15">
        <v>-0.70000847671862998</v>
      </c>
      <c r="O25" s="15">
        <v>-3.6401193205881997E-2</v>
      </c>
      <c r="R25" s="4" t="s">
        <v>17</v>
      </c>
      <c r="S25" s="14" t="s">
        <v>40</v>
      </c>
      <c r="T25" s="15">
        <v>-4.3368086899420177E-13</v>
      </c>
      <c r="U25" s="16">
        <v>3.6429192995512949E-13</v>
      </c>
      <c r="W25" s="38" t="s">
        <v>81</v>
      </c>
      <c r="X25" s="38" t="s">
        <v>31</v>
      </c>
      <c r="Y25" s="38" t="s">
        <v>94</v>
      </c>
      <c r="Z25" s="40">
        <v>42398</v>
      </c>
      <c r="AA25" s="40">
        <v>42402</v>
      </c>
      <c r="AB25" s="40">
        <v>42706</v>
      </c>
      <c r="AC25" s="42">
        <v>-3.8700000000000002E-3</v>
      </c>
      <c r="AD25" s="79" t="b">
        <v>0</v>
      </c>
      <c r="AF25" s="74" t="s">
        <v>17</v>
      </c>
      <c r="AG25" s="74" t="s">
        <v>40</v>
      </c>
      <c r="AH25" s="74" t="s">
        <v>148</v>
      </c>
      <c r="AI25" s="83">
        <v>42648</v>
      </c>
      <c r="AJ25" s="83">
        <v>42650</v>
      </c>
      <c r="AK25" s="83">
        <v>44476</v>
      </c>
      <c r="AL25" s="79">
        <v>9.3200000000000002E-3</v>
      </c>
      <c r="AM25" s="79" t="b">
        <v>1</v>
      </c>
    </row>
    <row r="26" spans="2:39" ht="12.75" customHeight="1" x14ac:dyDescent="0.25">
      <c r="B26" s="67"/>
      <c r="C26" s="5" t="s">
        <v>17</v>
      </c>
      <c r="D26" s="4" t="s">
        <v>32</v>
      </c>
      <c r="E26" s="23">
        <v>-2.9331179361496637E-2</v>
      </c>
      <c r="F26" s="24">
        <v>-2.6659262870451159E-2</v>
      </c>
      <c r="G26" s="23">
        <v>-2.9331179372234575E-2</v>
      </c>
      <c r="H26" s="24">
        <v>-2.9331179372225902E-2</v>
      </c>
      <c r="J26" s="9"/>
      <c r="K26" s="5" t="s">
        <v>17</v>
      </c>
      <c r="L26" s="4" t="s">
        <v>30</v>
      </c>
      <c r="M26" s="15">
        <v>-0.32722054399025002</v>
      </c>
      <c r="N26" s="15">
        <v>-0.577945910175794</v>
      </c>
      <c r="O26" s="15">
        <v>1.2781934466089481E-2</v>
      </c>
      <c r="R26" s="4" t="s">
        <v>17</v>
      </c>
      <c r="S26" s="14" t="s">
        <v>41</v>
      </c>
      <c r="T26" s="15">
        <v>-4.8572257327350599E-13</v>
      </c>
      <c r="U26" s="16">
        <v>-3.1225022567582528E-13</v>
      </c>
      <c r="W26" s="38" t="s">
        <v>81</v>
      </c>
      <c r="X26" s="38" t="s">
        <v>32</v>
      </c>
      <c r="Y26" s="38" t="s">
        <v>95</v>
      </c>
      <c r="Z26" s="40">
        <v>42398</v>
      </c>
      <c r="AA26" s="40">
        <v>42402</v>
      </c>
      <c r="AB26" s="40">
        <v>42737</v>
      </c>
      <c r="AC26" s="42">
        <v>-3.9300000000000003E-3</v>
      </c>
      <c r="AD26" s="79" t="b">
        <v>0</v>
      </c>
      <c r="AF26" s="74" t="s">
        <v>17</v>
      </c>
      <c r="AG26" s="74" t="s">
        <v>41</v>
      </c>
      <c r="AH26" s="74" t="s">
        <v>149</v>
      </c>
      <c r="AI26" s="83">
        <v>42648</v>
      </c>
      <c r="AJ26" s="83">
        <v>42650</v>
      </c>
      <c r="AK26" s="83">
        <v>44841</v>
      </c>
      <c r="AL26" s="79">
        <v>1.0030000000000001E-2</v>
      </c>
      <c r="AM26" s="79" t="b">
        <v>1</v>
      </c>
    </row>
    <row r="27" spans="2:39" ht="12.75" customHeight="1" x14ac:dyDescent="0.25">
      <c r="B27" s="67"/>
      <c r="C27" s="5" t="s">
        <v>17</v>
      </c>
      <c r="D27" s="4" t="s">
        <v>33</v>
      </c>
      <c r="E27" s="23">
        <v>-0.3485357734968591</v>
      </c>
      <c r="F27" s="24">
        <v>-0.35523695216892714</v>
      </c>
      <c r="G27" s="23">
        <v>-0.34853577350450921</v>
      </c>
      <c r="H27" s="24">
        <v>-0.34853577350450055</v>
      </c>
      <c r="J27" s="9"/>
      <c r="K27" s="5" t="s">
        <v>17</v>
      </c>
      <c r="L27" s="4" t="s">
        <v>31</v>
      </c>
      <c r="M27" s="15">
        <v>-0.31265805033991201</v>
      </c>
      <c r="N27" s="15">
        <v>-0.53855527465965203</v>
      </c>
      <c r="O27" s="15">
        <v>-6.3244020394878997E-3</v>
      </c>
      <c r="R27" s="4" t="s">
        <v>17</v>
      </c>
      <c r="S27" s="14" t="s">
        <v>42</v>
      </c>
      <c r="T27" s="15">
        <v>-1.7347234759768071E-14</v>
      </c>
      <c r="U27" s="16">
        <v>2.0816681711721685E-13</v>
      </c>
      <c r="W27" s="38" t="s">
        <v>81</v>
      </c>
      <c r="X27" s="38" t="s">
        <v>33</v>
      </c>
      <c r="Y27" s="38" t="s">
        <v>96</v>
      </c>
      <c r="Z27" s="40">
        <v>42398</v>
      </c>
      <c r="AA27" s="40">
        <v>42402</v>
      </c>
      <c r="AB27" s="40">
        <v>42768</v>
      </c>
      <c r="AC27" s="42">
        <v>-3.9500000000000004E-3</v>
      </c>
      <c r="AD27" s="79" t="b">
        <v>0</v>
      </c>
      <c r="AF27" s="74" t="s">
        <v>17</v>
      </c>
      <c r="AG27" s="74" t="s">
        <v>42</v>
      </c>
      <c r="AH27" s="74" t="s">
        <v>150</v>
      </c>
      <c r="AI27" s="83">
        <v>42648</v>
      </c>
      <c r="AJ27" s="83">
        <v>42650</v>
      </c>
      <c r="AK27" s="83">
        <v>45209</v>
      </c>
      <c r="AL27" s="79">
        <v>1.0670000000000002E-2</v>
      </c>
      <c r="AM27" s="79" t="b">
        <v>1</v>
      </c>
    </row>
    <row r="28" spans="2:39" ht="12.75" customHeight="1" x14ac:dyDescent="0.25">
      <c r="B28" s="67"/>
      <c r="C28" s="6" t="s">
        <v>17</v>
      </c>
      <c r="D28" s="7" t="s">
        <v>34</v>
      </c>
      <c r="E28" s="26">
        <v>-3.7360055589854071E-2</v>
      </c>
      <c r="F28" s="27">
        <v>-3.7040795362233009E-2</v>
      </c>
      <c r="G28" s="26">
        <v>-3.7360055594494457E-2</v>
      </c>
      <c r="H28" s="27">
        <v>-3.7360055594173533E-2</v>
      </c>
      <c r="J28" s="9"/>
      <c r="K28" s="5" t="s">
        <v>17</v>
      </c>
      <c r="L28" s="4" t="s">
        <v>32</v>
      </c>
      <c r="M28" s="15">
        <v>-0.267924954064237</v>
      </c>
      <c r="N28" s="15">
        <v>-0.47283853543538301</v>
      </c>
      <c r="O28" s="15">
        <v>9.9532941312280993E-3</v>
      </c>
      <c r="R28" s="4" t="s">
        <v>17</v>
      </c>
      <c r="S28" s="14" t="s">
        <v>43</v>
      </c>
      <c r="T28" s="15">
        <v>4.1338460432527313E-11</v>
      </c>
      <c r="U28" s="16">
        <v>4.1251724258728473E-11</v>
      </c>
      <c r="W28" s="38" t="s">
        <v>81</v>
      </c>
      <c r="X28" s="38" t="s">
        <v>34</v>
      </c>
      <c r="Y28" s="38" t="s">
        <v>97</v>
      </c>
      <c r="Z28" s="40">
        <v>42398</v>
      </c>
      <c r="AA28" s="40">
        <v>42402</v>
      </c>
      <c r="AB28" s="40">
        <v>42857</v>
      </c>
      <c r="AC28" s="42">
        <v>-4.0800000000000003E-3</v>
      </c>
      <c r="AD28" s="79" t="b">
        <v>0</v>
      </c>
      <c r="AF28" s="74" t="s">
        <v>17</v>
      </c>
      <c r="AG28" s="74" t="s">
        <v>43</v>
      </c>
      <c r="AH28" s="74" t="s">
        <v>151</v>
      </c>
      <c r="AI28" s="83">
        <v>42648</v>
      </c>
      <c r="AJ28" s="83">
        <v>42650</v>
      </c>
      <c r="AK28" s="83">
        <v>45572</v>
      </c>
      <c r="AL28" s="79">
        <v>1.1259999999999999E-2</v>
      </c>
      <c r="AM28" s="79" t="b">
        <v>1</v>
      </c>
    </row>
    <row r="29" spans="2:39" ht="12.75" customHeight="1" x14ac:dyDescent="0.25">
      <c r="B29" s="67" t="s">
        <v>6</v>
      </c>
      <c r="C29" s="5" t="s">
        <v>17</v>
      </c>
      <c r="D29" s="4" t="s">
        <v>35</v>
      </c>
      <c r="E29" s="23">
        <v>7.8062556418956319E-13</v>
      </c>
      <c r="F29" s="24">
        <v>1.9116739441438213E-9</v>
      </c>
      <c r="G29" s="24">
        <v>1.9327074662900401E-9</v>
      </c>
      <c r="H29" s="25">
        <v>1.9256124472732949E-9</v>
      </c>
      <c r="K29" s="5" t="s">
        <v>17</v>
      </c>
      <c r="L29" s="4" t="s">
        <v>33</v>
      </c>
      <c r="M29" s="15">
        <v>-0.60273336821785295</v>
      </c>
      <c r="N29" s="15">
        <v>-0.79021650414213196</v>
      </c>
      <c r="O29" s="15">
        <v>-0.34849211671812003</v>
      </c>
      <c r="R29" s="4" t="s">
        <v>17</v>
      </c>
      <c r="S29" s="14" t="s">
        <v>44</v>
      </c>
      <c r="T29" s="15">
        <v>2.7308016958826897E-10</v>
      </c>
      <c r="U29" s="16">
        <v>2.7309751682302874E-10</v>
      </c>
      <c r="W29" s="38" t="s">
        <v>81</v>
      </c>
      <c r="X29" s="38" t="s">
        <v>35</v>
      </c>
      <c r="Y29" s="38" t="s">
        <v>98</v>
      </c>
      <c r="Z29" s="40">
        <v>42398</v>
      </c>
      <c r="AA29" s="40">
        <v>42402</v>
      </c>
      <c r="AB29" s="40">
        <v>42949</v>
      </c>
      <c r="AC29" s="42">
        <v>-4.15E-3</v>
      </c>
      <c r="AD29" s="79" t="b">
        <v>1</v>
      </c>
      <c r="AF29" s="74" t="s">
        <v>17</v>
      </c>
      <c r="AG29" s="74" t="s">
        <v>44</v>
      </c>
      <c r="AH29" s="74" t="s">
        <v>152</v>
      </c>
      <c r="AI29" s="83">
        <v>42648</v>
      </c>
      <c r="AJ29" s="83">
        <v>42650</v>
      </c>
      <c r="AK29" s="83">
        <v>45937</v>
      </c>
      <c r="AL29" s="79">
        <v>1.1810000000000001E-2</v>
      </c>
      <c r="AM29" s="79" t="b">
        <v>1</v>
      </c>
    </row>
    <row r="30" spans="2:39" ht="12.75" customHeight="1" x14ac:dyDescent="0.25">
      <c r="B30" s="67"/>
      <c r="C30" s="5" t="s">
        <v>17</v>
      </c>
      <c r="D30" s="4" t="s">
        <v>36</v>
      </c>
      <c r="E30" s="23">
        <v>-1.214306433183765E-13</v>
      </c>
      <c r="F30" s="24">
        <v>1.260077112097413E-9</v>
      </c>
      <c r="G30" s="24">
        <v>1.287381659609288E-9</v>
      </c>
      <c r="H30" s="25">
        <v>1.287902076652081E-9</v>
      </c>
      <c r="K30" s="6" t="s">
        <v>17</v>
      </c>
      <c r="L30" s="7" t="s">
        <v>34</v>
      </c>
      <c r="M30" s="34">
        <v>-0.24182208117434939</v>
      </c>
      <c r="N30" s="18">
        <v>-0.39259691197477548</v>
      </c>
      <c r="O30" s="18">
        <v>-3.7064622122398583E-2</v>
      </c>
      <c r="R30" s="4" t="s">
        <v>17</v>
      </c>
      <c r="S30" s="14" t="s">
        <v>45</v>
      </c>
      <c r="T30" s="15">
        <v>-1.684243022825882E-10</v>
      </c>
      <c r="U30" s="16">
        <v>-1.6884063591682263E-10</v>
      </c>
      <c r="W30" s="38" t="s">
        <v>81</v>
      </c>
      <c r="X30" s="38" t="s">
        <v>36</v>
      </c>
      <c r="Y30" s="38" t="s">
        <v>99</v>
      </c>
      <c r="Z30" s="40">
        <v>42398</v>
      </c>
      <c r="AA30" s="40">
        <v>42402</v>
      </c>
      <c r="AB30" s="40">
        <v>43041</v>
      </c>
      <c r="AC30" s="42">
        <v>-4.1600000000000005E-3</v>
      </c>
      <c r="AD30" s="79" t="b">
        <v>1</v>
      </c>
      <c r="AF30" s="74" t="s">
        <v>17</v>
      </c>
      <c r="AG30" s="74" t="s">
        <v>45</v>
      </c>
      <c r="AH30" s="74" t="s">
        <v>153</v>
      </c>
      <c r="AI30" s="83">
        <v>42648</v>
      </c>
      <c r="AJ30" s="83">
        <v>42650</v>
      </c>
      <c r="AK30" s="83">
        <v>46302</v>
      </c>
      <c r="AL30" s="79">
        <v>1.23E-2</v>
      </c>
      <c r="AM30" s="79" t="b">
        <v>1</v>
      </c>
    </row>
    <row r="31" spans="2:39" ht="12.75" customHeight="1" x14ac:dyDescent="0.25">
      <c r="B31" s="67"/>
      <c r="C31" s="5" t="s">
        <v>17</v>
      </c>
      <c r="D31" s="4" t="s">
        <v>37</v>
      </c>
      <c r="E31" s="23">
        <v>-3.6429192995512949E-13</v>
      </c>
      <c r="F31" s="24">
        <v>-1.9949319973733282E-12</v>
      </c>
      <c r="G31" s="24">
        <v>-3.6429192995512949E-13</v>
      </c>
      <c r="H31" s="25">
        <v>8.6736173798840355E-14</v>
      </c>
      <c r="K31" s="60" t="s">
        <v>122</v>
      </c>
      <c r="L31" s="61"/>
      <c r="M31" s="55">
        <f>M63</f>
        <v>0.56897003643232025</v>
      </c>
      <c r="N31" s="55">
        <f>N63</f>
        <v>1.2014492834196431</v>
      </c>
      <c r="O31" s="55">
        <f>O63</f>
        <v>0.13958504895322815</v>
      </c>
      <c r="R31" s="4" t="s">
        <v>17</v>
      </c>
      <c r="S31" s="14" t="s">
        <v>47</v>
      </c>
      <c r="T31" s="15">
        <v>-9.1471968888257038E-11</v>
      </c>
      <c r="U31" s="16">
        <v>-9.1142371427821445E-11</v>
      </c>
      <c r="W31" s="38" t="s">
        <v>81</v>
      </c>
      <c r="X31" s="38" t="s">
        <v>37</v>
      </c>
      <c r="Y31" s="38" t="s">
        <v>100</v>
      </c>
      <c r="Z31" s="40">
        <v>42398</v>
      </c>
      <c r="AA31" s="40">
        <v>42402</v>
      </c>
      <c r="AB31" s="40">
        <v>43133</v>
      </c>
      <c r="AC31" s="42">
        <v>-4.13E-3</v>
      </c>
      <c r="AD31" s="79" t="b">
        <v>1</v>
      </c>
      <c r="AF31" s="74" t="s">
        <v>17</v>
      </c>
      <c r="AG31" s="74" t="s">
        <v>47</v>
      </c>
      <c r="AH31" s="74" t="s">
        <v>154</v>
      </c>
      <c r="AI31" s="83">
        <v>42648</v>
      </c>
      <c r="AJ31" s="83">
        <v>42650</v>
      </c>
      <c r="AK31" s="83">
        <v>47036</v>
      </c>
      <c r="AL31" s="79">
        <v>1.315E-2</v>
      </c>
      <c r="AM31" s="79" t="b">
        <v>1</v>
      </c>
    </row>
    <row r="32" spans="2:39" ht="12.75" customHeight="1" x14ac:dyDescent="0.25">
      <c r="B32" s="67"/>
      <c r="C32" s="5" t="s">
        <v>17</v>
      </c>
      <c r="D32" s="4" t="s">
        <v>38</v>
      </c>
      <c r="E32" s="23">
        <v>1.474514954580286E-13</v>
      </c>
      <c r="F32" s="24">
        <v>-1.5872719805187785E-12</v>
      </c>
      <c r="G32" s="24">
        <v>-1.4617015470837907E-4</v>
      </c>
      <c r="H32" s="25">
        <v>-1.6046192152785466E-13</v>
      </c>
      <c r="K32" s="60" t="s">
        <v>121</v>
      </c>
      <c r="L32" s="61"/>
      <c r="M32" s="55">
        <f>M20</f>
        <v>-1.0893093121565001</v>
      </c>
      <c r="N32" s="55">
        <f>N19</f>
        <v>-2.6181945621922602</v>
      </c>
      <c r="O32" s="55">
        <f>O23</f>
        <v>-0.32097828831465702</v>
      </c>
      <c r="R32" s="4" t="s">
        <v>17</v>
      </c>
      <c r="S32" s="14" t="s">
        <v>48</v>
      </c>
      <c r="T32" s="15">
        <v>-5.2041704279304213E-14</v>
      </c>
      <c r="U32" s="16">
        <v>3.6429192995512949E-13</v>
      </c>
      <c r="W32" s="38" t="s">
        <v>81</v>
      </c>
      <c r="X32" s="38" t="s">
        <v>38</v>
      </c>
      <c r="Y32" s="38" t="s">
        <v>101</v>
      </c>
      <c r="Z32" s="40">
        <v>42398</v>
      </c>
      <c r="AA32" s="40">
        <v>42402</v>
      </c>
      <c r="AB32" s="40">
        <v>43500</v>
      </c>
      <c r="AC32" s="42">
        <v>-3.7299999999999998E-3</v>
      </c>
      <c r="AD32" s="79" t="b">
        <v>1</v>
      </c>
      <c r="AF32" s="74" t="s">
        <v>17</v>
      </c>
      <c r="AG32" s="74" t="s">
        <v>48</v>
      </c>
      <c r="AH32" s="74" t="s">
        <v>155</v>
      </c>
      <c r="AI32" s="83">
        <v>42648</v>
      </c>
      <c r="AJ32" s="83">
        <v>42650</v>
      </c>
      <c r="AK32" s="83">
        <v>48128</v>
      </c>
      <c r="AL32" s="79">
        <v>1.4070000000000001E-2</v>
      </c>
      <c r="AM32" s="79" t="b">
        <v>1</v>
      </c>
    </row>
    <row r="33" spans="2:39" ht="12.75" customHeight="1" x14ac:dyDescent="0.25">
      <c r="B33" s="67"/>
      <c r="C33" s="5" t="s">
        <v>17</v>
      </c>
      <c r="D33" s="4" t="s">
        <v>39</v>
      </c>
      <c r="E33" s="23">
        <v>-1.6046192152785466E-13</v>
      </c>
      <c r="F33" s="24">
        <v>8.4092021540582707E-10</v>
      </c>
      <c r="G33" s="24">
        <v>-2.3188881188504484E-5</v>
      </c>
      <c r="H33" s="25">
        <v>7.4166367491912411E-10</v>
      </c>
      <c r="R33" s="4" t="s">
        <v>17</v>
      </c>
      <c r="S33" s="14" t="s">
        <v>49</v>
      </c>
      <c r="T33" s="15">
        <v>-2.9490299091605721E-13</v>
      </c>
      <c r="U33" s="16">
        <v>-5.2041704279304213E-13</v>
      </c>
      <c r="W33" s="38" t="s">
        <v>81</v>
      </c>
      <c r="X33" s="38" t="s">
        <v>39</v>
      </c>
      <c r="Y33" s="38" t="s">
        <v>102</v>
      </c>
      <c r="Z33" s="40">
        <v>42398</v>
      </c>
      <c r="AA33" s="40">
        <v>42402</v>
      </c>
      <c r="AB33" s="40">
        <v>43864</v>
      </c>
      <c r="AC33" s="42">
        <v>-2.9200000000000003E-3</v>
      </c>
      <c r="AD33" s="79" t="b">
        <v>1</v>
      </c>
      <c r="AF33" s="74" t="s">
        <v>17</v>
      </c>
      <c r="AG33" s="74" t="s">
        <v>49</v>
      </c>
      <c r="AH33" s="74" t="s">
        <v>156</v>
      </c>
      <c r="AI33" s="83">
        <v>42648</v>
      </c>
      <c r="AJ33" s="83">
        <v>42650</v>
      </c>
      <c r="AK33" s="83">
        <v>49955</v>
      </c>
      <c r="AL33" s="79">
        <v>1.4999999999999999E-2</v>
      </c>
      <c r="AM33" s="79" t="b">
        <v>1</v>
      </c>
    </row>
    <row r="34" spans="2:39" ht="12.75" customHeight="1" x14ac:dyDescent="0.25">
      <c r="B34" s="67"/>
      <c r="C34" s="5" t="s">
        <v>17</v>
      </c>
      <c r="D34" s="4" t="s">
        <v>40</v>
      </c>
      <c r="E34" s="31">
        <v>3.3140968193119678</v>
      </c>
      <c r="F34" s="32">
        <v>0.23738942121239889</v>
      </c>
      <c r="G34" s="32">
        <v>0.23296792753248588</v>
      </c>
      <c r="H34" s="33">
        <v>0.23296791909530046</v>
      </c>
      <c r="L34" s="35" t="s">
        <v>123</v>
      </c>
      <c r="M34" s="35" t="s">
        <v>125</v>
      </c>
      <c r="N34" s="35" t="s">
        <v>124</v>
      </c>
      <c r="O34" s="35" t="s">
        <v>57</v>
      </c>
      <c r="R34" s="4" t="s">
        <v>17</v>
      </c>
      <c r="S34" s="14" t="s">
        <v>50</v>
      </c>
      <c r="T34" s="15">
        <v>2.7755575615628914E-13</v>
      </c>
      <c r="U34" s="16">
        <v>-4.5102810375396984E-13</v>
      </c>
      <c r="W34" s="38" t="s">
        <v>81</v>
      </c>
      <c r="X34" s="38" t="s">
        <v>40</v>
      </c>
      <c r="Y34" s="38" t="s">
        <v>103</v>
      </c>
      <c r="Z34" s="40">
        <v>42398</v>
      </c>
      <c r="AA34" s="40">
        <v>42402</v>
      </c>
      <c r="AB34" s="40">
        <v>44229</v>
      </c>
      <c r="AC34" s="42">
        <v>-1.8699999999999999E-3</v>
      </c>
      <c r="AD34" s="79" t="b">
        <v>1</v>
      </c>
      <c r="AF34" s="74" t="s">
        <v>17</v>
      </c>
      <c r="AG34" s="74" t="s">
        <v>50</v>
      </c>
      <c r="AH34" s="74" t="s">
        <v>157</v>
      </c>
      <c r="AI34" s="83">
        <v>42648</v>
      </c>
      <c r="AJ34" s="83">
        <v>42650</v>
      </c>
      <c r="AK34" s="83">
        <v>51781</v>
      </c>
      <c r="AL34" s="79">
        <v>1.5390000000000001E-2</v>
      </c>
      <c r="AM34" s="79" t="b">
        <v>1</v>
      </c>
    </row>
    <row r="35" spans="2:39" ht="12.75" customHeight="1" x14ac:dyDescent="0.25">
      <c r="B35" s="67"/>
      <c r="C35" s="5" t="s">
        <v>17</v>
      </c>
      <c r="D35" s="4" t="s">
        <v>41</v>
      </c>
      <c r="E35" s="31">
        <v>2.4580420588996477</v>
      </c>
      <c r="F35" s="32">
        <v>-6.1550783251795513E-2</v>
      </c>
      <c r="G35" s="32">
        <v>-6.3225703603634428E-2</v>
      </c>
      <c r="H35" s="33">
        <v>-6.322570174332022E-2</v>
      </c>
      <c r="K35" s="50">
        <v>42464</v>
      </c>
      <c r="L35" s="48">
        <v>-2.7300000000000002E-3</v>
      </c>
      <c r="M35" s="48">
        <v>-2.7299999999999634E-3</v>
      </c>
      <c r="N35" s="48">
        <v>-2.9918194562192266E-3</v>
      </c>
      <c r="O35" s="48">
        <v>-2.730121976571387E-3</v>
      </c>
      <c r="R35" s="4" t="s">
        <v>17</v>
      </c>
      <c r="S35" s="14" t="s">
        <v>51</v>
      </c>
      <c r="T35" s="15">
        <v>-1.214306433183765E-13</v>
      </c>
      <c r="U35" s="16">
        <v>-5.7245874707234634E-13</v>
      </c>
      <c r="W35" s="38" t="s">
        <v>81</v>
      </c>
      <c r="X35" s="38" t="s">
        <v>41</v>
      </c>
      <c r="Y35" s="38" t="s">
        <v>104</v>
      </c>
      <c r="Z35" s="40">
        <v>42398</v>
      </c>
      <c r="AA35" s="40">
        <v>42402</v>
      </c>
      <c r="AB35" s="40">
        <v>44594</v>
      </c>
      <c r="AC35" s="42">
        <v>-6.2E-4</v>
      </c>
      <c r="AD35" s="79" t="b">
        <v>1</v>
      </c>
      <c r="AF35" s="74" t="s">
        <v>17</v>
      </c>
      <c r="AG35" s="74" t="s">
        <v>51</v>
      </c>
      <c r="AH35" s="74" t="s">
        <v>158</v>
      </c>
      <c r="AI35" s="83">
        <v>42648</v>
      </c>
      <c r="AJ35" s="83">
        <v>42650</v>
      </c>
      <c r="AK35" s="83">
        <v>53609</v>
      </c>
      <c r="AL35" s="79">
        <v>1.5569999999999999E-2</v>
      </c>
      <c r="AM35" s="79" t="b">
        <v>1</v>
      </c>
    </row>
    <row r="36" spans="2:39" ht="12.75" customHeight="1" x14ac:dyDescent="0.25">
      <c r="B36" s="67"/>
      <c r="C36" s="5" t="s">
        <v>17</v>
      </c>
      <c r="D36" s="4" t="s">
        <v>42</v>
      </c>
      <c r="E36" s="23">
        <v>-5.6703773620991882E-13</v>
      </c>
      <c r="F36" s="24">
        <v>2.9621812815128212E-10</v>
      </c>
      <c r="G36" s="24">
        <v>8.2995676303765364E-12</v>
      </c>
      <c r="H36" s="25">
        <v>8.3288410890336451E-12</v>
      </c>
      <c r="K36" s="51">
        <v>42492</v>
      </c>
      <c r="L36" s="47">
        <v>-2.9800000000000004E-3</v>
      </c>
      <c r="M36" s="47">
        <v>-3.0889309312156503E-3</v>
      </c>
      <c r="N36" s="47">
        <v>-3.1654270790109074E-3</v>
      </c>
      <c r="O36" s="47">
        <v>-2.9851963939488968E-3</v>
      </c>
      <c r="R36" s="4" t="s">
        <v>17</v>
      </c>
      <c r="S36" s="14" t="s">
        <v>52</v>
      </c>
      <c r="T36" s="15">
        <v>-8.8470897274817162E-13</v>
      </c>
      <c r="U36" s="16">
        <v>-2.6020852139652106E-13</v>
      </c>
      <c r="W36" s="38" t="s">
        <v>81</v>
      </c>
      <c r="X36" s="38" t="s">
        <v>42</v>
      </c>
      <c r="Y36" s="38" t="s">
        <v>105</v>
      </c>
      <c r="Z36" s="40">
        <v>42398</v>
      </c>
      <c r="AA36" s="40">
        <v>42402</v>
      </c>
      <c r="AB36" s="40">
        <v>44959</v>
      </c>
      <c r="AC36" s="42">
        <v>6.9000000000000008E-4</v>
      </c>
      <c r="AD36" s="79" t="b">
        <v>1</v>
      </c>
      <c r="AF36" s="74" t="s">
        <v>17</v>
      </c>
      <c r="AG36" s="74" t="s">
        <v>52</v>
      </c>
      <c r="AH36" s="74" t="s">
        <v>159</v>
      </c>
      <c r="AI36" s="83">
        <v>42648</v>
      </c>
      <c r="AJ36" s="83">
        <v>42650</v>
      </c>
      <c r="AK36" s="83">
        <v>57263</v>
      </c>
      <c r="AL36" s="79">
        <v>1.5670000000000003E-2</v>
      </c>
      <c r="AM36" s="79" t="b">
        <v>1</v>
      </c>
    </row>
    <row r="37" spans="2:39" ht="12.75" customHeight="1" x14ac:dyDescent="0.25">
      <c r="B37" s="67"/>
      <c r="C37" s="5" t="s">
        <v>17</v>
      </c>
      <c r="D37" s="4" t="s">
        <v>43</v>
      </c>
      <c r="E37" s="23">
        <v>3.5561831257524545E-13</v>
      </c>
      <c r="F37" s="24">
        <v>5.7241537898544692E-10</v>
      </c>
      <c r="G37" s="24">
        <v>-1.2329547105505156E-11</v>
      </c>
      <c r="H37" s="25">
        <v>-1.229485263598562E-11</v>
      </c>
      <c r="K37" s="51">
        <v>42523</v>
      </c>
      <c r="L37" s="47">
        <v>-3.1600000000000005E-3</v>
      </c>
      <c r="M37" s="47">
        <v>-3.2320058811306702E-3</v>
      </c>
      <c r="N37" s="47">
        <v>-3.2888859579577635E-3</v>
      </c>
      <c r="O37" s="47">
        <v>-3.1548722133646514E-3</v>
      </c>
      <c r="R37" s="4" t="s">
        <v>17</v>
      </c>
      <c r="S37" s="14" t="s">
        <v>61</v>
      </c>
      <c r="T37" s="15">
        <v>9.9849808406406865E-2</v>
      </c>
      <c r="U37" s="16">
        <v>9.9849808406146656E-2</v>
      </c>
      <c r="W37" s="38" t="s">
        <v>81</v>
      </c>
      <c r="X37" s="38" t="s">
        <v>43</v>
      </c>
      <c r="Y37" s="38" t="s">
        <v>106</v>
      </c>
      <c r="Z37" s="40">
        <v>42398</v>
      </c>
      <c r="AA37" s="40">
        <v>42402</v>
      </c>
      <c r="AB37" s="40">
        <v>45324</v>
      </c>
      <c r="AC37" s="42">
        <v>1.99E-3</v>
      </c>
      <c r="AD37" s="79" t="b">
        <v>1</v>
      </c>
      <c r="AF37" s="74" t="s">
        <v>17</v>
      </c>
      <c r="AG37" s="74" t="s">
        <v>61</v>
      </c>
      <c r="AH37" s="74" t="s">
        <v>160</v>
      </c>
      <c r="AI37" s="83">
        <v>42648</v>
      </c>
      <c r="AJ37" s="83">
        <v>42650</v>
      </c>
      <c r="AK37" s="83">
        <v>59086</v>
      </c>
      <c r="AL37" s="79">
        <v>1.5550000000000001E-2</v>
      </c>
      <c r="AM37" s="79" t="b">
        <v>1</v>
      </c>
    </row>
    <row r="38" spans="2:39" ht="12.75" customHeight="1" x14ac:dyDescent="0.25">
      <c r="B38" s="67"/>
      <c r="C38" s="5" t="s">
        <v>17</v>
      </c>
      <c r="D38" s="4" t="s">
        <v>44</v>
      </c>
      <c r="E38" s="23">
        <v>1.7347234759768071E-14</v>
      </c>
      <c r="F38" s="24">
        <v>9.7951161071030413E-11</v>
      </c>
      <c r="G38" s="24">
        <v>-5.629426677415672E-5</v>
      </c>
      <c r="H38" s="25">
        <v>-7.7281930854766756E-12</v>
      </c>
      <c r="K38" s="51">
        <v>42555</v>
      </c>
      <c r="L38" s="47">
        <v>-3.3499999999999997E-3</v>
      </c>
      <c r="M38" s="47">
        <v>-3.4137389691840984E-3</v>
      </c>
      <c r="N38" s="47">
        <v>-3.4587061438354052E-3</v>
      </c>
      <c r="O38" s="47">
        <v>-3.3527600939195655E-3</v>
      </c>
      <c r="R38" s="7" t="s">
        <v>17</v>
      </c>
      <c r="S38" s="17" t="s">
        <v>53</v>
      </c>
      <c r="T38" s="18">
        <v>3.4694469519536142E-14</v>
      </c>
      <c r="U38" s="19">
        <v>2.7755575615628914E-13</v>
      </c>
      <c r="W38" s="38" t="s">
        <v>81</v>
      </c>
      <c r="X38" s="38" t="s">
        <v>44</v>
      </c>
      <c r="Y38" s="38" t="s">
        <v>107</v>
      </c>
      <c r="Z38" s="40">
        <v>42398</v>
      </c>
      <c r="AA38" s="40">
        <v>42402</v>
      </c>
      <c r="AB38" s="40">
        <v>45691</v>
      </c>
      <c r="AC38" s="42">
        <v>3.2299999999999994E-3</v>
      </c>
      <c r="AD38" s="79" t="b">
        <v>1</v>
      </c>
      <c r="AF38" s="75" t="s">
        <v>17</v>
      </c>
      <c r="AG38" s="75" t="s">
        <v>53</v>
      </c>
      <c r="AH38" s="75" t="s">
        <v>161</v>
      </c>
      <c r="AI38" s="84">
        <v>42648</v>
      </c>
      <c r="AJ38" s="84">
        <v>42650</v>
      </c>
      <c r="AK38" s="84">
        <v>60912</v>
      </c>
      <c r="AL38" s="80">
        <v>1.5489999999999999E-2</v>
      </c>
      <c r="AM38" s="80" t="b">
        <v>1</v>
      </c>
    </row>
    <row r="39" spans="2:39" ht="12.75" customHeight="1" x14ac:dyDescent="0.25">
      <c r="B39" s="67"/>
      <c r="C39" s="5" t="s">
        <v>17</v>
      </c>
      <c r="D39" s="4" t="s">
        <v>45</v>
      </c>
      <c r="E39" s="31">
        <v>0.49627575521090861</v>
      </c>
      <c r="F39" s="32">
        <v>-9.1049674436115627E-2</v>
      </c>
      <c r="G39" s="32">
        <v>-8.9910022182245961E-2</v>
      </c>
      <c r="H39" s="33">
        <v>-8.9910022176833623E-2</v>
      </c>
      <c r="K39" s="51">
        <v>42584</v>
      </c>
      <c r="L39" s="47">
        <v>-3.4599999999999995E-3</v>
      </c>
      <c r="M39" s="47">
        <v>-3.5433428087746676E-3</v>
      </c>
      <c r="N39" s="47">
        <v>-3.5811319931941268E-3</v>
      </c>
      <c r="O39" s="47">
        <v>-3.4920978288314653E-3</v>
      </c>
      <c r="W39" s="38" t="s">
        <v>81</v>
      </c>
      <c r="X39" s="38" t="s">
        <v>45</v>
      </c>
      <c r="Y39" s="38" t="s">
        <v>108</v>
      </c>
      <c r="Z39" s="40">
        <v>42398</v>
      </c>
      <c r="AA39" s="40">
        <v>42402</v>
      </c>
      <c r="AB39" s="40">
        <v>46055</v>
      </c>
      <c r="AC39" s="42">
        <v>4.3699999999999998E-3</v>
      </c>
      <c r="AD39" s="79" t="b">
        <v>1</v>
      </c>
    </row>
    <row r="40" spans="2:39" ht="12.75" customHeight="1" x14ac:dyDescent="0.25">
      <c r="B40" s="67"/>
      <c r="C40" s="5" t="s">
        <v>17</v>
      </c>
      <c r="D40" s="4" t="s">
        <v>46</v>
      </c>
      <c r="E40" s="31">
        <v>0.41058329028917895</v>
      </c>
      <c r="F40" s="32">
        <v>8.4322366622844452E-2</v>
      </c>
      <c r="G40" s="32">
        <v>8.5114370328995617E-2</v>
      </c>
      <c r="H40" s="33">
        <v>8.511437032765988E-2</v>
      </c>
      <c r="K40" s="51">
        <v>42615</v>
      </c>
      <c r="L40" s="47">
        <v>-3.6099999999999999E-3</v>
      </c>
      <c r="M40" s="47">
        <v>-3.6553189391409489E-3</v>
      </c>
      <c r="N40" s="47">
        <v>-3.687596276272282E-3</v>
      </c>
      <c r="O40" s="47">
        <v>-3.6115484392127452E-3</v>
      </c>
      <c r="W40" s="38" t="s">
        <v>81</v>
      </c>
      <c r="X40" s="38" t="s">
        <v>46</v>
      </c>
      <c r="Y40" s="38" t="s">
        <v>109</v>
      </c>
      <c r="Z40" s="40">
        <v>42398</v>
      </c>
      <c r="AA40" s="40">
        <v>42402</v>
      </c>
      <c r="AB40" s="40">
        <v>46420</v>
      </c>
      <c r="AC40" s="42">
        <v>5.3900000000000007E-3</v>
      </c>
      <c r="AD40" s="79" t="b">
        <v>1</v>
      </c>
    </row>
    <row r="41" spans="2:39" ht="12.75" customHeight="1" x14ac:dyDescent="0.25">
      <c r="B41" s="67"/>
      <c r="C41" s="5" t="s">
        <v>17</v>
      </c>
      <c r="D41" s="4" t="s">
        <v>47</v>
      </c>
      <c r="E41" s="23">
        <v>1.214306433183765E-13</v>
      </c>
      <c r="F41" s="24">
        <v>3.2127078775090467E-11</v>
      </c>
      <c r="G41" s="24">
        <v>1.3067671944533288E-10</v>
      </c>
      <c r="H41" s="25">
        <v>1.3076345561913172E-10</v>
      </c>
      <c r="K41" s="51">
        <v>42646</v>
      </c>
      <c r="L41" s="47">
        <v>-3.7099999999999998E-3</v>
      </c>
      <c r="M41" s="47">
        <v>-3.7518350551376763E-3</v>
      </c>
      <c r="N41" s="47">
        <v>-3.7800008476718628E-3</v>
      </c>
      <c r="O41" s="47">
        <v>-3.713640119320588E-3</v>
      </c>
      <c r="W41" s="38" t="s">
        <v>81</v>
      </c>
      <c r="X41" s="38" t="s">
        <v>47</v>
      </c>
      <c r="Y41" s="38" t="s">
        <v>110</v>
      </c>
      <c r="Z41" s="40">
        <v>42398</v>
      </c>
      <c r="AA41" s="40">
        <v>42402</v>
      </c>
      <c r="AB41" s="40">
        <v>46785</v>
      </c>
      <c r="AC41" s="42">
        <v>6.3099999999999996E-3</v>
      </c>
      <c r="AD41" s="79" t="b">
        <v>1</v>
      </c>
    </row>
    <row r="42" spans="2:39" ht="12.75" customHeight="1" x14ac:dyDescent="0.25">
      <c r="B42" s="67"/>
      <c r="C42" s="5" t="s">
        <v>17</v>
      </c>
      <c r="D42" s="4" t="s">
        <v>48</v>
      </c>
      <c r="E42" s="23">
        <v>-6.9388939039072284E-13</v>
      </c>
      <c r="F42" s="24">
        <v>-2.2039661762285334E-10</v>
      </c>
      <c r="G42" s="24">
        <v>-9.4627854458489979E-5</v>
      </c>
      <c r="H42" s="25">
        <v>-3.6774402967232334E-10</v>
      </c>
      <c r="K42" s="51">
        <v>42676</v>
      </c>
      <c r="L42" s="47">
        <v>-3.8E-3</v>
      </c>
      <c r="M42" s="47">
        <v>-3.832722054399025E-3</v>
      </c>
      <c r="N42" s="47">
        <v>-3.8577945910175794E-3</v>
      </c>
      <c r="O42" s="47">
        <v>-3.798721806553391E-3</v>
      </c>
      <c r="W42" s="38" t="s">
        <v>81</v>
      </c>
      <c r="X42" s="38" t="s">
        <v>48</v>
      </c>
      <c r="Y42" s="38" t="s">
        <v>111</v>
      </c>
      <c r="Z42" s="40">
        <v>42398</v>
      </c>
      <c r="AA42" s="40">
        <v>42402</v>
      </c>
      <c r="AB42" s="40">
        <v>47882</v>
      </c>
      <c r="AC42" s="42">
        <v>8.4099999999999991E-3</v>
      </c>
      <c r="AD42" s="79" t="b">
        <v>1</v>
      </c>
    </row>
    <row r="43" spans="2:39" ht="12.75" customHeight="1" x14ac:dyDescent="0.25">
      <c r="B43" s="67"/>
      <c r="C43" s="5" t="s">
        <v>17</v>
      </c>
      <c r="D43" s="4" t="s">
        <v>49</v>
      </c>
      <c r="E43" s="23">
        <v>1.7347234759768071E-14</v>
      </c>
      <c r="F43" s="24">
        <v>9.6433278029550706E-11</v>
      </c>
      <c r="G43" s="24">
        <v>-1.2686464250649676E-4</v>
      </c>
      <c r="H43" s="25">
        <v>1.7555401576885288E-10</v>
      </c>
      <c r="K43" s="51">
        <v>42706</v>
      </c>
      <c r="L43" s="47">
        <v>-3.8700000000000002E-3</v>
      </c>
      <c r="M43" s="47">
        <v>-3.9012658050339914E-3</v>
      </c>
      <c r="N43" s="47">
        <v>-3.9238555274659654E-3</v>
      </c>
      <c r="O43" s="47">
        <v>-3.870632440203949E-3</v>
      </c>
      <c r="W43" s="38" t="s">
        <v>81</v>
      </c>
      <c r="X43" s="38" t="s">
        <v>49</v>
      </c>
      <c r="Y43" s="38" t="s">
        <v>112</v>
      </c>
      <c r="Z43" s="40">
        <v>42398</v>
      </c>
      <c r="AA43" s="40">
        <v>42402</v>
      </c>
      <c r="AB43" s="40">
        <v>49709</v>
      </c>
      <c r="AC43" s="42">
        <v>1.0280000000000001E-2</v>
      </c>
      <c r="AD43" s="79" t="b">
        <v>1</v>
      </c>
    </row>
    <row r="44" spans="2:39" ht="12.75" customHeight="1" x14ac:dyDescent="0.25">
      <c r="B44" s="67"/>
      <c r="C44" s="5" t="s">
        <v>17</v>
      </c>
      <c r="D44" s="4" t="s">
        <v>50</v>
      </c>
      <c r="E44" s="23">
        <v>7.1123662515049091E-13</v>
      </c>
      <c r="F44" s="24">
        <v>-3.4191399711502868E-11</v>
      </c>
      <c r="G44" s="24">
        <v>-8.0595467973065826E-5</v>
      </c>
      <c r="H44" s="25">
        <v>-7.7958473010397711E-11</v>
      </c>
      <c r="K44" s="51">
        <v>42737</v>
      </c>
      <c r="L44" s="47">
        <v>-3.9300000000000003E-3</v>
      </c>
      <c r="M44" s="47">
        <v>-3.956792495406424E-3</v>
      </c>
      <c r="N44" s="47">
        <v>-3.9772838535435387E-3</v>
      </c>
      <c r="O44" s="47">
        <v>-3.9290046705868775E-3</v>
      </c>
      <c r="W44" s="38" t="s">
        <v>81</v>
      </c>
      <c r="X44" s="38" t="s">
        <v>50</v>
      </c>
      <c r="Y44" s="38" t="s">
        <v>113</v>
      </c>
      <c r="Z44" s="40">
        <v>42398</v>
      </c>
      <c r="AA44" s="40">
        <v>42402</v>
      </c>
      <c r="AB44" s="40">
        <v>51536</v>
      </c>
      <c r="AC44" s="42">
        <v>1.0920000000000001E-2</v>
      </c>
      <c r="AD44" s="79" t="b">
        <v>1</v>
      </c>
    </row>
    <row r="45" spans="2:39" ht="12.75" customHeight="1" x14ac:dyDescent="0.25">
      <c r="B45" s="67"/>
      <c r="C45" s="5" t="s">
        <v>17</v>
      </c>
      <c r="D45" s="4" t="s">
        <v>51</v>
      </c>
      <c r="E45" s="23">
        <v>-1.9081958235744878E-13</v>
      </c>
      <c r="F45" s="24">
        <v>-3.7799624541534627E-11</v>
      </c>
      <c r="G45" s="24">
        <v>8.4428991575791201E-11</v>
      </c>
      <c r="H45" s="25">
        <v>8.4515727749590042E-11</v>
      </c>
      <c r="K45" s="52">
        <v>42768</v>
      </c>
      <c r="L45" s="49">
        <v>-3.9500000000000004E-3</v>
      </c>
      <c r="M45" s="49">
        <v>-4.0102777024246371E-3</v>
      </c>
      <c r="N45" s="49">
        <v>-4.0290260159336361E-3</v>
      </c>
      <c r="O45" s="49">
        <v>-3.9848535773880167E-3</v>
      </c>
      <c r="W45" s="38" t="s">
        <v>81</v>
      </c>
      <c r="X45" s="38" t="s">
        <v>51</v>
      </c>
      <c r="Y45" s="38" t="s">
        <v>114</v>
      </c>
      <c r="Z45" s="40">
        <v>42398</v>
      </c>
      <c r="AA45" s="40">
        <v>42402</v>
      </c>
      <c r="AB45" s="40">
        <v>53360</v>
      </c>
      <c r="AC45" s="42">
        <v>1.1160000000000002E-2</v>
      </c>
      <c r="AD45" s="79" t="b">
        <v>1</v>
      </c>
    </row>
    <row r="46" spans="2:39" ht="12.75" customHeight="1" x14ac:dyDescent="0.25">
      <c r="B46" s="67"/>
      <c r="C46" s="5" t="s">
        <v>17</v>
      </c>
      <c r="D46" s="4" t="s">
        <v>52</v>
      </c>
      <c r="E46" s="23">
        <v>6.9388939039072284E-14</v>
      </c>
      <c r="F46" s="24">
        <v>2.5927177071949359E-10</v>
      </c>
      <c r="G46" s="24">
        <v>3.776493007201509E-11</v>
      </c>
      <c r="H46" s="25">
        <v>3.866698627952303E-11</v>
      </c>
      <c r="W46" s="38" t="s">
        <v>81</v>
      </c>
      <c r="X46" s="38" t="s">
        <v>52</v>
      </c>
      <c r="Y46" s="38" t="s">
        <v>115</v>
      </c>
      <c r="Z46" s="40">
        <v>42398</v>
      </c>
      <c r="AA46" s="40">
        <v>42402</v>
      </c>
      <c r="AB46" s="40">
        <v>57012</v>
      </c>
      <c r="AC46" s="42">
        <v>1.1379999999999999E-2</v>
      </c>
      <c r="AD46" s="79" t="b">
        <v>1</v>
      </c>
    </row>
    <row r="47" spans="2:39" ht="12.75" customHeight="1" x14ac:dyDescent="0.25">
      <c r="B47" s="67"/>
      <c r="C47" s="5" t="s">
        <v>17</v>
      </c>
      <c r="D47" s="4" t="s">
        <v>53</v>
      </c>
      <c r="E47" s="23">
        <v>-3.6429192995512949E-13</v>
      </c>
      <c r="F47" s="24">
        <v>5.3949900102878701E-12</v>
      </c>
      <c r="G47" s="24">
        <v>-5.4626442258509655E-11</v>
      </c>
      <c r="H47" s="25">
        <v>-5.4938692484185481E-11</v>
      </c>
      <c r="W47" s="38" t="s">
        <v>81</v>
      </c>
      <c r="X47" s="38" t="s">
        <v>53</v>
      </c>
      <c r="Y47" s="38" t="s">
        <v>116</v>
      </c>
      <c r="Z47" s="40">
        <v>42398</v>
      </c>
      <c r="AA47" s="40">
        <v>42402</v>
      </c>
      <c r="AB47" s="40">
        <v>60665</v>
      </c>
      <c r="AC47" s="42">
        <v>1.1089999999999999E-2</v>
      </c>
      <c r="AD47" s="79" t="b">
        <v>1</v>
      </c>
    </row>
    <row r="48" spans="2:39" ht="12.75" customHeight="1" x14ac:dyDescent="0.25">
      <c r="B48" s="67"/>
      <c r="C48" s="6" t="s">
        <v>17</v>
      </c>
      <c r="D48" s="7" t="s">
        <v>54</v>
      </c>
      <c r="E48" s="26">
        <v>-1.6132928326584306E-12</v>
      </c>
      <c r="F48" s="27">
        <v>1.1343356809412342E-10</v>
      </c>
      <c r="G48" s="27">
        <v>-7.0265960758209012E-6</v>
      </c>
      <c r="H48" s="28">
        <v>3.1866870253693946E-11</v>
      </c>
      <c r="M48" s="53">
        <f>M19^2</f>
        <v>2.5963267029931925E-17</v>
      </c>
      <c r="N48" s="53">
        <f>N19^2</f>
        <v>6.8549427654931208</v>
      </c>
      <c r="O48" s="53">
        <f>O19^2</f>
        <v>1.4878283967267651E-6</v>
      </c>
      <c r="W48" s="39" t="s">
        <v>81</v>
      </c>
      <c r="X48" s="39" t="s">
        <v>54</v>
      </c>
      <c r="Y48" s="39" t="s">
        <v>117</v>
      </c>
      <c r="Z48" s="41">
        <v>42398</v>
      </c>
      <c r="AA48" s="41">
        <v>42402</v>
      </c>
      <c r="AB48" s="41">
        <v>64318</v>
      </c>
      <c r="AC48" s="43">
        <v>1.1049999999999999E-2</v>
      </c>
      <c r="AD48" s="80" t="b">
        <v>1</v>
      </c>
    </row>
    <row r="49" spans="2:30" x14ac:dyDescent="0.25">
      <c r="M49" s="53">
        <f t="shared" ref="M49:O59" si="0">M20^2</f>
        <v>1.1865947775508674</v>
      </c>
      <c r="N49" s="53">
        <f t="shared" si="0"/>
        <v>3.4383201630517148</v>
      </c>
      <c r="O49" s="53">
        <f t="shared" si="0"/>
        <v>2.7002510072126605E-3</v>
      </c>
    </row>
    <row r="50" spans="2:30" x14ac:dyDescent="0.25">
      <c r="B50" t="s">
        <v>65</v>
      </c>
      <c r="M50" s="53">
        <f t="shared" si="0"/>
        <v>0.51848469174041356</v>
      </c>
      <c r="N50" s="53">
        <f t="shared" si="0"/>
        <v>1.6611590158690255</v>
      </c>
      <c r="O50" s="53">
        <f t="shared" si="0"/>
        <v>2.6294195777664259E-3</v>
      </c>
    </row>
    <row r="51" spans="2:30" x14ac:dyDescent="0.25">
      <c r="B51" t="s">
        <v>66</v>
      </c>
      <c r="C51" t="s">
        <v>58</v>
      </c>
      <c r="D51" t="s">
        <v>67</v>
      </c>
      <c r="E51" t="s">
        <v>68</v>
      </c>
      <c r="F51" t="s">
        <v>69</v>
      </c>
      <c r="G51" t="s">
        <v>70</v>
      </c>
      <c r="H51" t="s">
        <v>71</v>
      </c>
      <c r="I51" t="s">
        <v>118</v>
      </c>
      <c r="M51" s="53">
        <f t="shared" si="0"/>
        <v>0.40626561926514843</v>
      </c>
      <c r="N51" s="53">
        <f t="shared" si="0"/>
        <v>1.181702570756376</v>
      </c>
      <c r="O51" s="53">
        <f t="shared" si="0"/>
        <v>7.6181184448240462E-4</v>
      </c>
      <c r="W51" s="68" t="s">
        <v>65</v>
      </c>
      <c r="X51" s="69"/>
      <c r="Y51" s="69"/>
      <c r="Z51" s="69"/>
      <c r="AA51" s="69"/>
      <c r="AB51" s="69"/>
      <c r="AC51" s="69"/>
      <c r="AD51" s="70"/>
    </row>
    <row r="52" spans="2:30" x14ac:dyDescent="0.25">
      <c r="B52" t="s">
        <v>81</v>
      </c>
      <c r="C52" t="s">
        <v>18</v>
      </c>
      <c r="D52" t="s">
        <v>82</v>
      </c>
      <c r="E52">
        <v>42398</v>
      </c>
      <c r="F52">
        <v>42402</v>
      </c>
      <c r="G52">
        <v>42409</v>
      </c>
      <c r="H52">
        <v>-2.3900000000000002E-3</v>
      </c>
      <c r="I52" t="s">
        <v>119</v>
      </c>
      <c r="M52" s="53">
        <f t="shared" si="0"/>
        <v>0.69460237744508768</v>
      </c>
      <c r="N52" s="53">
        <f t="shared" si="0"/>
        <v>1.4672959775182028</v>
      </c>
      <c r="O52" s="53">
        <f t="shared" si="0"/>
        <v>0.10302706156940709</v>
      </c>
      <c r="W52" s="36" t="s">
        <v>66</v>
      </c>
      <c r="X52" s="36" t="s">
        <v>58</v>
      </c>
      <c r="Y52" s="37" t="s">
        <v>67</v>
      </c>
      <c r="Z52" s="36" t="s">
        <v>68</v>
      </c>
      <c r="AA52" s="36" t="s">
        <v>69</v>
      </c>
      <c r="AB52" s="37" t="s">
        <v>70</v>
      </c>
      <c r="AC52" s="36" t="s">
        <v>71</v>
      </c>
      <c r="AD52" s="36" t="s">
        <v>118</v>
      </c>
    </row>
    <row r="53" spans="2:30" x14ac:dyDescent="0.25">
      <c r="B53" t="s">
        <v>81</v>
      </c>
      <c r="C53" t="s">
        <v>19</v>
      </c>
      <c r="D53" t="s">
        <v>83</v>
      </c>
      <c r="E53">
        <v>42398</v>
      </c>
      <c r="F53">
        <v>42402</v>
      </c>
      <c r="G53">
        <v>42416</v>
      </c>
      <c r="H53">
        <v>-2.3900000000000002E-3</v>
      </c>
      <c r="I53" t="s">
        <v>119</v>
      </c>
      <c r="M53" s="53">
        <f t="shared" si="0"/>
        <v>0.20538062448610392</v>
      </c>
      <c r="N53" s="53">
        <f t="shared" si="0"/>
        <v>0.60211820913243153</v>
      </c>
      <c r="O53" s="53">
        <f t="shared" si="0"/>
        <v>2.3976639955671295E-4</v>
      </c>
      <c r="W53" s="38" t="s">
        <v>81</v>
      </c>
      <c r="X53" s="38" t="s">
        <v>18</v>
      </c>
      <c r="Y53" s="38" t="s">
        <v>82</v>
      </c>
      <c r="Z53" s="40">
        <v>42398</v>
      </c>
      <c r="AA53" s="40">
        <v>42402</v>
      </c>
      <c r="AB53" s="40">
        <v>42409</v>
      </c>
      <c r="AC53" s="42">
        <v>-2.3900000000000002E-3</v>
      </c>
      <c r="AD53" s="44" t="s">
        <v>119</v>
      </c>
    </row>
    <row r="54" spans="2:30" x14ac:dyDescent="0.25">
      <c r="B54" t="s">
        <v>81</v>
      </c>
      <c r="C54" t="s">
        <v>20</v>
      </c>
      <c r="D54" t="s">
        <v>84</v>
      </c>
      <c r="E54">
        <v>42398</v>
      </c>
      <c r="F54">
        <v>42402</v>
      </c>
      <c r="G54">
        <v>42423</v>
      </c>
      <c r="H54">
        <v>-2.3900000000000002E-3</v>
      </c>
      <c r="I54" t="s">
        <v>119</v>
      </c>
      <c r="M54" s="53">
        <f t="shared" si="0"/>
        <v>0.17501718383724416</v>
      </c>
      <c r="N54" s="53">
        <f t="shared" si="0"/>
        <v>0.49001186747793674</v>
      </c>
      <c r="O54" s="53">
        <f t="shared" si="0"/>
        <v>1.3250468668119498E-3</v>
      </c>
      <c r="W54" s="38" t="s">
        <v>81</v>
      </c>
      <c r="X54" s="38" t="s">
        <v>19</v>
      </c>
      <c r="Y54" s="38" t="s">
        <v>83</v>
      </c>
      <c r="Z54" s="40">
        <v>42398</v>
      </c>
      <c r="AA54" s="40">
        <v>42402</v>
      </c>
      <c r="AB54" s="40">
        <v>42416</v>
      </c>
      <c r="AC54" s="42">
        <v>-2.3900000000000002E-3</v>
      </c>
      <c r="AD54" s="42" t="s">
        <v>119</v>
      </c>
    </row>
    <row r="55" spans="2:30" x14ac:dyDescent="0.25">
      <c r="B55" t="s">
        <v>81</v>
      </c>
      <c r="C55" t="s">
        <v>21</v>
      </c>
      <c r="D55" t="s">
        <v>85</v>
      </c>
      <c r="E55">
        <v>42398</v>
      </c>
      <c r="F55">
        <v>42402</v>
      </c>
      <c r="G55">
        <v>42431</v>
      </c>
      <c r="H55">
        <v>-2.3799999999999997E-3</v>
      </c>
      <c r="I55" t="s">
        <v>119</v>
      </c>
      <c r="M55" s="53">
        <f t="shared" si="0"/>
        <v>0.10707328440927515</v>
      </c>
      <c r="N55" s="53">
        <f t="shared" si="0"/>
        <v>0.33402147508892693</v>
      </c>
      <c r="O55" s="53">
        <f t="shared" si="0"/>
        <v>1.6337784869540619E-4</v>
      </c>
      <c r="W55" s="38" t="s">
        <v>81</v>
      </c>
      <c r="X55" s="38" t="s">
        <v>20</v>
      </c>
      <c r="Y55" s="38" t="s">
        <v>84</v>
      </c>
      <c r="Z55" s="40">
        <v>42398</v>
      </c>
      <c r="AA55" s="40">
        <v>42402</v>
      </c>
      <c r="AB55" s="40">
        <v>42423</v>
      </c>
      <c r="AC55" s="42">
        <v>-2.3900000000000002E-3</v>
      </c>
      <c r="AD55" s="42" t="s">
        <v>119</v>
      </c>
    </row>
    <row r="56" spans="2:30" x14ac:dyDescent="0.25">
      <c r="B56" t="s">
        <v>81</v>
      </c>
      <c r="C56" t="s">
        <v>23</v>
      </c>
      <c r="D56" t="s">
        <v>86</v>
      </c>
      <c r="E56">
        <v>42398</v>
      </c>
      <c r="F56">
        <v>42402</v>
      </c>
      <c r="G56">
        <v>42464</v>
      </c>
      <c r="H56">
        <v>-2.7300000000000002E-3</v>
      </c>
      <c r="I56" t="s">
        <v>119</v>
      </c>
      <c r="M56" s="53">
        <f t="shared" si="0"/>
        <v>9.7755056442354951E-2</v>
      </c>
      <c r="N56" s="53">
        <f t="shared" si="0"/>
        <v>0.29004178386373325</v>
      </c>
      <c r="O56" s="53">
        <f t="shared" si="0"/>
        <v>3.9998061157078708E-5</v>
      </c>
      <c r="W56" s="38" t="s">
        <v>81</v>
      </c>
      <c r="X56" s="38" t="s">
        <v>21</v>
      </c>
      <c r="Y56" s="38" t="s">
        <v>85</v>
      </c>
      <c r="Z56" s="40">
        <v>42398</v>
      </c>
      <c r="AA56" s="40">
        <v>42402</v>
      </c>
      <c r="AB56" s="40">
        <v>42431</v>
      </c>
      <c r="AC56" s="42">
        <v>-2.3799999999999997E-3</v>
      </c>
      <c r="AD56" s="42" t="s">
        <v>119</v>
      </c>
    </row>
    <row r="57" spans="2:30" x14ac:dyDescent="0.25">
      <c r="B57" t="s">
        <v>7</v>
      </c>
      <c r="C57" t="s">
        <v>8</v>
      </c>
      <c r="D57" t="s">
        <v>72</v>
      </c>
      <c r="E57">
        <v>42443</v>
      </c>
      <c r="F57">
        <v>42445</v>
      </c>
      <c r="G57">
        <v>42487</v>
      </c>
      <c r="H57">
        <v>-3.5299999999999997E-3</v>
      </c>
      <c r="I57" t="s">
        <v>119</v>
      </c>
      <c r="M57" s="53">
        <f t="shared" si="0"/>
        <v>7.1783781010323511E-2</v>
      </c>
      <c r="N57" s="53">
        <f t="shared" si="0"/>
        <v>0.22357628059267795</v>
      </c>
      <c r="O57" s="53">
        <f t="shared" si="0"/>
        <v>9.9068064062739726E-5</v>
      </c>
      <c r="W57" s="38" t="s">
        <v>81</v>
      </c>
      <c r="X57" s="38" t="s">
        <v>23</v>
      </c>
      <c r="Y57" s="38" t="s">
        <v>86</v>
      </c>
      <c r="Z57" s="40">
        <v>42398</v>
      </c>
      <c r="AA57" s="40">
        <v>42402</v>
      </c>
      <c r="AB57" s="40">
        <v>42464</v>
      </c>
      <c r="AC57" s="42">
        <v>-2.7300000000000002E-3</v>
      </c>
      <c r="AD57" s="42" t="s">
        <v>119</v>
      </c>
    </row>
    <row r="58" spans="2:30" x14ac:dyDescent="0.25">
      <c r="B58" t="s">
        <v>7</v>
      </c>
      <c r="C58" t="s">
        <v>9</v>
      </c>
      <c r="D58" t="s">
        <v>73</v>
      </c>
      <c r="E58">
        <v>42485</v>
      </c>
      <c r="F58">
        <v>42487</v>
      </c>
      <c r="G58">
        <v>42529</v>
      </c>
      <c r="H58">
        <v>-3.65E-3</v>
      </c>
      <c r="I58" t="s">
        <v>119</v>
      </c>
      <c r="M58" s="53">
        <f>M29^2</f>
        <v>0.36328751316323793</v>
      </c>
      <c r="N58" s="53">
        <f t="shared" ref="N58:O58" si="1">N29^2</f>
        <v>0.62444212341861205</v>
      </c>
      <c r="O58" s="53">
        <f t="shared" si="1"/>
        <v>0.1214467554146758</v>
      </c>
      <c r="W58" s="38" t="s">
        <v>7</v>
      </c>
      <c r="X58" s="38" t="s">
        <v>8</v>
      </c>
      <c r="Y58" s="38" t="s">
        <v>72</v>
      </c>
      <c r="Z58" s="40">
        <v>42443</v>
      </c>
      <c r="AA58" s="40">
        <v>42445</v>
      </c>
      <c r="AB58" s="40">
        <v>42487</v>
      </c>
      <c r="AC58" s="42">
        <v>-3.5299999999999997E-3</v>
      </c>
      <c r="AD58" s="42" t="s">
        <v>119</v>
      </c>
    </row>
    <row r="59" spans="2:30" x14ac:dyDescent="0.25">
      <c r="B59" t="s">
        <v>7</v>
      </c>
      <c r="C59" t="s">
        <v>10</v>
      </c>
      <c r="D59" t="s">
        <v>74</v>
      </c>
      <c r="E59">
        <v>42527</v>
      </c>
      <c r="F59">
        <v>42529</v>
      </c>
      <c r="G59">
        <v>42578</v>
      </c>
      <c r="H59">
        <v>-4.2100000000000002E-3</v>
      </c>
      <c r="I59" t="s">
        <v>119</v>
      </c>
      <c r="M59" s="53">
        <f t="shared" si="0"/>
        <v>5.8477918943493627E-2</v>
      </c>
      <c r="N59" s="53">
        <f t="shared" si="0"/>
        <v>0.15413233529212961</v>
      </c>
      <c r="O59" s="53">
        <f t="shared" si="0"/>
        <v>1.3737862130761985E-3</v>
      </c>
      <c r="W59" s="38" t="s">
        <v>7</v>
      </c>
      <c r="X59" s="38" t="s">
        <v>9</v>
      </c>
      <c r="Y59" s="38" t="s">
        <v>73</v>
      </c>
      <c r="Z59" s="40">
        <v>42485</v>
      </c>
      <c r="AA59" s="40">
        <v>42487</v>
      </c>
      <c r="AB59" s="40">
        <v>42529</v>
      </c>
      <c r="AC59" s="42">
        <v>-3.65E-3</v>
      </c>
      <c r="AD59" s="42" t="s">
        <v>119</v>
      </c>
    </row>
    <row r="60" spans="2:30" x14ac:dyDescent="0.25">
      <c r="B60" t="s">
        <v>7</v>
      </c>
      <c r="C60" t="s">
        <v>11</v>
      </c>
      <c r="D60" t="s">
        <v>75</v>
      </c>
      <c r="E60">
        <v>42576</v>
      </c>
      <c r="F60">
        <v>42578</v>
      </c>
      <c r="G60">
        <v>42627</v>
      </c>
      <c r="H60">
        <v>-4.3200000000000009E-3</v>
      </c>
      <c r="I60" t="s">
        <v>119</v>
      </c>
      <c r="M60" s="54"/>
      <c r="W60" s="38" t="s">
        <v>7</v>
      </c>
      <c r="X60" s="38" t="s">
        <v>10</v>
      </c>
      <c r="Y60" s="38" t="s">
        <v>74</v>
      </c>
      <c r="Z60" s="40">
        <v>42527</v>
      </c>
      <c r="AA60" s="40">
        <v>42529</v>
      </c>
      <c r="AB60" s="40">
        <v>42578</v>
      </c>
      <c r="AC60" s="42">
        <v>-4.2100000000000002E-3</v>
      </c>
      <c r="AD60" s="42" t="s">
        <v>119</v>
      </c>
    </row>
    <row r="61" spans="2:30" x14ac:dyDescent="0.25">
      <c r="B61" t="s">
        <v>7</v>
      </c>
      <c r="C61" t="s">
        <v>12</v>
      </c>
      <c r="D61" t="s">
        <v>76</v>
      </c>
      <c r="E61">
        <v>42625</v>
      </c>
      <c r="F61">
        <v>42627</v>
      </c>
      <c r="G61">
        <v>42669</v>
      </c>
      <c r="H61">
        <v>-4.4900000000000009E-3</v>
      </c>
      <c r="I61" t="s">
        <v>119</v>
      </c>
      <c r="M61" s="53">
        <f>SUM(M48:M59)</f>
        <v>3.8847228282935502</v>
      </c>
      <c r="N61" s="53">
        <f>SUM(N48:N59)</f>
        <v>17.321764567554887</v>
      </c>
      <c r="O61" s="53">
        <f>SUM(O48:O59)</f>
        <v>0.2338078306953012</v>
      </c>
      <c r="W61" s="38" t="s">
        <v>7</v>
      </c>
      <c r="X61" s="38" t="s">
        <v>11</v>
      </c>
      <c r="Y61" s="38" t="s">
        <v>75</v>
      </c>
      <c r="Z61" s="40">
        <v>42576</v>
      </c>
      <c r="AA61" s="40">
        <v>42578</v>
      </c>
      <c r="AB61" s="40">
        <v>42627</v>
      </c>
      <c r="AC61" s="42">
        <v>-4.3200000000000009E-3</v>
      </c>
      <c r="AD61" s="42" t="s">
        <v>119</v>
      </c>
    </row>
    <row r="62" spans="2:30" x14ac:dyDescent="0.25">
      <c r="B62" t="s">
        <v>7</v>
      </c>
      <c r="C62" t="s">
        <v>13</v>
      </c>
      <c r="D62" t="s">
        <v>77</v>
      </c>
      <c r="E62">
        <v>42667</v>
      </c>
      <c r="F62">
        <v>42669</v>
      </c>
      <c r="G62">
        <v>42718</v>
      </c>
      <c r="H62">
        <v>-4.5399999999999998E-3</v>
      </c>
      <c r="I62" t="s">
        <v>119</v>
      </c>
      <c r="M62">
        <f>M61/12</f>
        <v>0.32372690235779583</v>
      </c>
      <c r="N62">
        <f>N61/12</f>
        <v>1.443480380629574</v>
      </c>
      <c r="O62">
        <f>O61/12</f>
        <v>1.9483985891275101E-2</v>
      </c>
      <c r="W62" s="38" t="s">
        <v>7</v>
      </c>
      <c r="X62" s="38" t="s">
        <v>12</v>
      </c>
      <c r="Y62" s="38" t="s">
        <v>76</v>
      </c>
      <c r="Z62" s="40">
        <v>42625</v>
      </c>
      <c r="AA62" s="40">
        <v>42627</v>
      </c>
      <c r="AB62" s="40">
        <v>42669</v>
      </c>
      <c r="AC62" s="42">
        <v>-4.4900000000000009E-3</v>
      </c>
      <c r="AD62" s="42" t="s">
        <v>119</v>
      </c>
    </row>
    <row r="63" spans="2:30" x14ac:dyDescent="0.25">
      <c r="B63" t="s">
        <v>7</v>
      </c>
      <c r="C63" t="s">
        <v>14</v>
      </c>
      <c r="D63" t="s">
        <v>78</v>
      </c>
      <c r="E63">
        <v>42716</v>
      </c>
      <c r="F63">
        <v>42718</v>
      </c>
      <c r="G63">
        <v>42760</v>
      </c>
      <c r="H63">
        <v>-4.5700000000000011E-3</v>
      </c>
      <c r="I63" t="s">
        <v>119</v>
      </c>
      <c r="M63">
        <f>SQRT(M62)</f>
        <v>0.56897003643232025</v>
      </c>
      <c r="N63">
        <f>SQRT(N62)</f>
        <v>1.2014492834196431</v>
      </c>
      <c r="O63">
        <f>SQRT(O62)</f>
        <v>0.13958504895322815</v>
      </c>
      <c r="W63" s="38" t="s">
        <v>7</v>
      </c>
      <c r="X63" s="38" t="s">
        <v>13</v>
      </c>
      <c r="Y63" s="38" t="s">
        <v>77</v>
      </c>
      <c r="Z63" s="40">
        <v>42667</v>
      </c>
      <c r="AA63" s="40">
        <v>42669</v>
      </c>
      <c r="AB63" s="40">
        <v>42718</v>
      </c>
      <c r="AC63" s="42">
        <v>-4.5399999999999998E-3</v>
      </c>
      <c r="AD63" s="42" t="s">
        <v>119</v>
      </c>
    </row>
    <row r="64" spans="2:30" x14ac:dyDescent="0.25">
      <c r="B64" t="s">
        <v>7</v>
      </c>
      <c r="C64" t="s">
        <v>15</v>
      </c>
      <c r="D64" t="s">
        <v>79</v>
      </c>
      <c r="E64">
        <v>42758</v>
      </c>
      <c r="F64">
        <v>42760</v>
      </c>
      <c r="G64">
        <v>42809</v>
      </c>
      <c r="H64">
        <v>-4.5399999999999998E-3</v>
      </c>
      <c r="I64" t="s">
        <v>119</v>
      </c>
      <c r="W64" s="38" t="s">
        <v>7</v>
      </c>
      <c r="X64" s="38" t="s">
        <v>14</v>
      </c>
      <c r="Y64" s="38" t="s">
        <v>78</v>
      </c>
      <c r="Z64" s="40">
        <v>42716</v>
      </c>
      <c r="AA64" s="40">
        <v>42718</v>
      </c>
      <c r="AB64" s="40">
        <v>42760</v>
      </c>
      <c r="AC64" s="42">
        <v>-4.5700000000000011E-3</v>
      </c>
      <c r="AD64" s="42" t="s">
        <v>119</v>
      </c>
    </row>
    <row r="65" spans="2:30" x14ac:dyDescent="0.25">
      <c r="B65" t="s">
        <v>7</v>
      </c>
      <c r="C65" t="s">
        <v>16</v>
      </c>
      <c r="D65" t="s">
        <v>80</v>
      </c>
      <c r="E65">
        <v>42807</v>
      </c>
      <c r="F65">
        <v>42809</v>
      </c>
      <c r="G65">
        <v>42858</v>
      </c>
      <c r="H65">
        <v>-4.4500000000000008E-3</v>
      </c>
      <c r="I65" t="s">
        <v>119</v>
      </c>
      <c r="W65" s="38" t="s">
        <v>7</v>
      </c>
      <c r="X65" s="38" t="s">
        <v>15</v>
      </c>
      <c r="Y65" s="38" t="s">
        <v>79</v>
      </c>
      <c r="Z65" s="40">
        <v>42758</v>
      </c>
      <c r="AA65" s="40">
        <v>42760</v>
      </c>
      <c r="AB65" s="40">
        <v>42809</v>
      </c>
      <c r="AC65" s="42">
        <v>-4.5399999999999998E-3</v>
      </c>
      <c r="AD65" s="42" t="s">
        <v>119</v>
      </c>
    </row>
    <row r="66" spans="2:30" x14ac:dyDescent="0.25">
      <c r="B66" t="s">
        <v>81</v>
      </c>
      <c r="C66" t="s">
        <v>24</v>
      </c>
      <c r="D66" t="s">
        <v>87</v>
      </c>
      <c r="E66">
        <v>42398</v>
      </c>
      <c r="F66">
        <v>42402</v>
      </c>
      <c r="G66">
        <v>42492</v>
      </c>
      <c r="H66">
        <v>-2.9800000000000004E-3</v>
      </c>
      <c r="I66" t="s">
        <v>120</v>
      </c>
      <c r="K66" s="64" t="s">
        <v>62</v>
      </c>
      <c r="L66" s="65"/>
      <c r="M66" s="65"/>
      <c r="N66" s="65"/>
      <c r="O66" s="66"/>
      <c r="W66" s="38" t="s">
        <v>7</v>
      </c>
      <c r="X66" s="38" t="s">
        <v>16</v>
      </c>
      <c r="Y66" s="38" t="s">
        <v>80</v>
      </c>
      <c r="Z66" s="40">
        <v>42807</v>
      </c>
      <c r="AA66" s="40">
        <v>42809</v>
      </c>
      <c r="AB66" s="40">
        <v>42858</v>
      </c>
      <c r="AC66" s="42">
        <v>-4.4500000000000008E-3</v>
      </c>
      <c r="AD66" s="42" t="s">
        <v>119</v>
      </c>
    </row>
    <row r="67" spans="2:30" x14ac:dyDescent="0.25">
      <c r="B67" t="s">
        <v>81</v>
      </c>
      <c r="C67" t="s">
        <v>25</v>
      </c>
      <c r="D67" t="s">
        <v>88</v>
      </c>
      <c r="E67">
        <v>42398</v>
      </c>
      <c r="F67">
        <v>42402</v>
      </c>
      <c r="G67">
        <v>42523</v>
      </c>
      <c r="H67">
        <v>-3.1600000000000005E-3</v>
      </c>
      <c r="I67" t="s">
        <v>120</v>
      </c>
      <c r="K67" s="58" t="s">
        <v>1</v>
      </c>
      <c r="L67" s="59"/>
      <c r="M67" s="35" t="s">
        <v>55</v>
      </c>
      <c r="N67" s="35" t="s">
        <v>56</v>
      </c>
      <c r="O67" s="35" t="s">
        <v>57</v>
      </c>
      <c r="W67" s="38" t="s">
        <v>81</v>
      </c>
      <c r="X67" s="38" t="s">
        <v>24</v>
      </c>
      <c r="Y67" s="38" t="s">
        <v>87</v>
      </c>
      <c r="Z67" s="40">
        <v>42398</v>
      </c>
      <c r="AA67" s="40">
        <v>42402</v>
      </c>
      <c r="AB67" s="40">
        <v>42492</v>
      </c>
      <c r="AC67" s="42">
        <v>-2.9800000000000004E-3</v>
      </c>
      <c r="AD67" s="42" t="s">
        <v>120</v>
      </c>
    </row>
    <row r="68" spans="2:30" x14ac:dyDescent="0.25">
      <c r="B68" t="s">
        <v>81</v>
      </c>
      <c r="C68" t="s">
        <v>26</v>
      </c>
      <c r="D68" t="s">
        <v>89</v>
      </c>
      <c r="E68">
        <v>42398</v>
      </c>
      <c r="F68">
        <v>42402</v>
      </c>
      <c r="G68">
        <v>42555</v>
      </c>
      <c r="H68">
        <v>-3.3499999999999997E-3</v>
      </c>
      <c r="I68" t="s">
        <v>120</v>
      </c>
      <c r="K68" s="8" t="s">
        <v>17</v>
      </c>
      <c r="L68" s="3" t="s">
        <v>23</v>
      </c>
      <c r="M68" s="46">
        <f t="shared" ref="M68:O69" si="2">M19</f>
        <v>-5.0954162764127453E-9</v>
      </c>
      <c r="N68" s="46">
        <f t="shared" si="2"/>
        <v>-2.6181945621922602</v>
      </c>
      <c r="O68" s="46">
        <f t="shared" si="2"/>
        <v>-1.21976571386753E-3</v>
      </c>
      <c r="W68" s="38" t="s">
        <v>81</v>
      </c>
      <c r="X68" s="38" t="s">
        <v>25</v>
      </c>
      <c r="Y68" s="38" t="s">
        <v>88</v>
      </c>
      <c r="Z68" s="40">
        <v>42398</v>
      </c>
      <c r="AA68" s="40">
        <v>42402</v>
      </c>
      <c r="AB68" s="40">
        <v>42523</v>
      </c>
      <c r="AC68" s="42">
        <v>-3.1600000000000005E-3</v>
      </c>
      <c r="AD68" s="42" t="s">
        <v>120</v>
      </c>
    </row>
    <row r="69" spans="2:30" x14ac:dyDescent="0.25">
      <c r="B69" t="s">
        <v>81</v>
      </c>
      <c r="C69" t="s">
        <v>27</v>
      </c>
      <c r="D69" t="s">
        <v>90</v>
      </c>
      <c r="E69">
        <v>42398</v>
      </c>
      <c r="F69">
        <v>42402</v>
      </c>
      <c r="G69">
        <v>42584</v>
      </c>
      <c r="H69">
        <v>-3.4599999999999995E-3</v>
      </c>
      <c r="I69" t="s">
        <v>120</v>
      </c>
      <c r="K69" s="5" t="s">
        <v>17</v>
      </c>
      <c r="L69" s="4" t="s">
        <v>24</v>
      </c>
      <c r="M69" s="15">
        <f t="shared" si="2"/>
        <v>-1.0893093121565001</v>
      </c>
      <c r="N69" s="15">
        <f t="shared" si="2"/>
        <v>-1.85427079010907</v>
      </c>
      <c r="O69" s="15">
        <f t="shared" si="2"/>
        <v>-5.1963939488963502E-2</v>
      </c>
      <c r="W69" s="38" t="s">
        <v>81</v>
      </c>
      <c r="X69" s="38" t="s">
        <v>26</v>
      </c>
      <c r="Y69" s="38" t="s">
        <v>89</v>
      </c>
      <c r="Z69" s="40">
        <v>42398</v>
      </c>
      <c r="AA69" s="40">
        <v>42402</v>
      </c>
      <c r="AB69" s="40">
        <v>42555</v>
      </c>
      <c r="AC69" s="42">
        <v>-3.3499999999999997E-3</v>
      </c>
      <c r="AD69" s="42" t="s">
        <v>120</v>
      </c>
    </row>
    <row r="70" spans="2:30" x14ac:dyDescent="0.25">
      <c r="B70" t="s">
        <v>81</v>
      </c>
      <c r="C70" t="s">
        <v>28</v>
      </c>
      <c r="D70" t="s">
        <v>91</v>
      </c>
      <c r="E70">
        <v>42398</v>
      </c>
      <c r="F70">
        <v>42402</v>
      </c>
      <c r="G70">
        <v>42615</v>
      </c>
      <c r="H70">
        <v>-3.6099999999999999E-3</v>
      </c>
      <c r="I70" t="s">
        <v>120</v>
      </c>
      <c r="K70" s="5" t="s">
        <v>17</v>
      </c>
      <c r="L70" s="4" t="s">
        <v>25</v>
      </c>
      <c r="M70" s="15">
        <f t="shared" ref="M70:O70" si="3">M21</f>
        <v>-0.72005881130669702</v>
      </c>
      <c r="N70" s="15">
        <f t="shared" si="3"/>
        <v>-1.2888595795776301</v>
      </c>
      <c r="O70" s="15">
        <f t="shared" si="3"/>
        <v>5.127786635349043E-2</v>
      </c>
      <c r="W70" s="38" t="s">
        <v>81</v>
      </c>
      <c r="X70" s="38" t="s">
        <v>27</v>
      </c>
      <c r="Y70" s="38" t="s">
        <v>90</v>
      </c>
      <c r="Z70" s="40">
        <v>42398</v>
      </c>
      <c r="AA70" s="40">
        <v>42402</v>
      </c>
      <c r="AB70" s="40">
        <v>42584</v>
      </c>
      <c r="AC70" s="42">
        <v>-3.4599999999999995E-3</v>
      </c>
      <c r="AD70" s="42" t="s">
        <v>120</v>
      </c>
    </row>
    <row r="71" spans="2:30" x14ac:dyDescent="0.25">
      <c r="B71" t="s">
        <v>81</v>
      </c>
      <c r="C71" t="s">
        <v>29</v>
      </c>
      <c r="D71" t="s">
        <v>92</v>
      </c>
      <c r="E71">
        <v>42398</v>
      </c>
      <c r="F71">
        <v>42402</v>
      </c>
      <c r="G71">
        <v>42646</v>
      </c>
      <c r="H71">
        <v>-3.7099999999999998E-3</v>
      </c>
      <c r="I71" t="s">
        <v>120</v>
      </c>
      <c r="K71" s="5" t="s">
        <v>17</v>
      </c>
      <c r="L71" s="4" t="s">
        <v>26</v>
      </c>
      <c r="M71" s="15">
        <f t="shared" ref="M71:O71" si="4">M22</f>
        <v>-0.63738969184098704</v>
      </c>
      <c r="N71" s="15">
        <f t="shared" si="4"/>
        <v>-1.08706143835405</v>
      </c>
      <c r="O71" s="15">
        <f t="shared" si="4"/>
        <v>-2.7600939195657901E-2</v>
      </c>
      <c r="W71" s="38" t="s">
        <v>81</v>
      </c>
      <c r="X71" s="38" t="s">
        <v>28</v>
      </c>
      <c r="Y71" s="38" t="s">
        <v>91</v>
      </c>
      <c r="Z71" s="40">
        <v>42398</v>
      </c>
      <c r="AA71" s="40">
        <v>42402</v>
      </c>
      <c r="AB71" s="40">
        <v>42615</v>
      </c>
      <c r="AC71" s="42">
        <v>-3.6099999999999999E-3</v>
      </c>
      <c r="AD71" s="42" t="s">
        <v>120</v>
      </c>
    </row>
    <row r="72" spans="2:30" x14ac:dyDescent="0.25">
      <c r="B72" t="s">
        <v>81</v>
      </c>
      <c r="C72" t="s">
        <v>30</v>
      </c>
      <c r="D72" t="s">
        <v>93</v>
      </c>
      <c r="E72">
        <v>42398</v>
      </c>
      <c r="F72">
        <v>42402</v>
      </c>
      <c r="G72">
        <v>42676</v>
      </c>
      <c r="H72">
        <v>-3.8E-3</v>
      </c>
      <c r="I72" t="s">
        <v>120</v>
      </c>
      <c r="K72" s="5" t="s">
        <v>17</v>
      </c>
      <c r="L72" s="4" t="s">
        <v>27</v>
      </c>
      <c r="M72" s="15">
        <f t="shared" ref="M72:O72" si="5">M23</f>
        <v>-0.83342808774667998</v>
      </c>
      <c r="N72" s="15">
        <f t="shared" si="5"/>
        <v>-1.21131993194127</v>
      </c>
      <c r="O72" s="15">
        <f t="shared" si="5"/>
        <v>-0.32097828831465702</v>
      </c>
      <c r="W72" s="38" t="s">
        <v>81</v>
      </c>
      <c r="X72" s="38" t="s">
        <v>29</v>
      </c>
      <c r="Y72" s="38" t="s">
        <v>92</v>
      </c>
      <c r="Z72" s="40">
        <v>42398</v>
      </c>
      <c r="AA72" s="40">
        <v>42402</v>
      </c>
      <c r="AB72" s="40">
        <v>42646</v>
      </c>
      <c r="AC72" s="42">
        <v>-3.7099999999999998E-3</v>
      </c>
      <c r="AD72" s="42" t="s">
        <v>120</v>
      </c>
    </row>
    <row r="73" spans="2:30" x14ac:dyDescent="0.25">
      <c r="B73" t="s">
        <v>81</v>
      </c>
      <c r="C73" t="s">
        <v>31</v>
      </c>
      <c r="D73" t="s">
        <v>94</v>
      </c>
      <c r="E73">
        <v>42398</v>
      </c>
      <c r="F73">
        <v>42402</v>
      </c>
      <c r="G73">
        <v>42706</v>
      </c>
      <c r="H73">
        <v>-3.8700000000000002E-3</v>
      </c>
      <c r="I73" t="s">
        <v>120</v>
      </c>
      <c r="K73" s="5" t="s">
        <v>17</v>
      </c>
      <c r="L73" s="4" t="s">
        <v>28</v>
      </c>
      <c r="M73" s="15">
        <f t="shared" ref="M73:O73" si="6">M24</f>
        <v>-0.45318939140948999</v>
      </c>
      <c r="N73" s="15">
        <f t="shared" si="6"/>
        <v>-0.77596276272282005</v>
      </c>
      <c r="O73" s="15">
        <f t="shared" si="6"/>
        <v>-1.54843921274525E-2</v>
      </c>
      <c r="W73" s="38" t="s">
        <v>81</v>
      </c>
      <c r="X73" s="38" t="s">
        <v>30</v>
      </c>
      <c r="Y73" s="38" t="s">
        <v>93</v>
      </c>
      <c r="Z73" s="40">
        <v>42398</v>
      </c>
      <c r="AA73" s="40">
        <v>42402</v>
      </c>
      <c r="AB73" s="40">
        <v>42676</v>
      </c>
      <c r="AC73" s="42">
        <v>-3.8E-3</v>
      </c>
      <c r="AD73" s="42" t="s">
        <v>120</v>
      </c>
    </row>
    <row r="74" spans="2:30" x14ac:dyDescent="0.25">
      <c r="B74" t="s">
        <v>81</v>
      </c>
      <c r="C74" t="s">
        <v>32</v>
      </c>
      <c r="D74" t="s">
        <v>95</v>
      </c>
      <c r="E74">
        <v>42398</v>
      </c>
      <c r="F74">
        <v>42402</v>
      </c>
      <c r="G74">
        <v>42737</v>
      </c>
      <c r="H74">
        <v>-3.9300000000000003E-3</v>
      </c>
      <c r="I74" t="s">
        <v>120</v>
      </c>
      <c r="K74" s="5" t="s">
        <v>17</v>
      </c>
      <c r="L74" s="4" t="s">
        <v>29</v>
      </c>
      <c r="M74" s="15">
        <f t="shared" ref="M74:O74" si="7">M25</f>
        <v>-0.41835055137676602</v>
      </c>
      <c r="N74" s="15">
        <f t="shared" si="7"/>
        <v>-0.70000847671862998</v>
      </c>
      <c r="O74" s="15">
        <f t="shared" si="7"/>
        <v>-3.6401193205881997E-2</v>
      </c>
      <c r="W74" s="38" t="s">
        <v>81</v>
      </c>
      <c r="X74" s="38" t="s">
        <v>31</v>
      </c>
      <c r="Y74" s="38" t="s">
        <v>94</v>
      </c>
      <c r="Z74" s="40">
        <v>42398</v>
      </c>
      <c r="AA74" s="40">
        <v>42402</v>
      </c>
      <c r="AB74" s="40">
        <v>42706</v>
      </c>
      <c r="AC74" s="42">
        <v>-3.8700000000000002E-3</v>
      </c>
      <c r="AD74" s="42" t="s">
        <v>120</v>
      </c>
    </row>
    <row r="75" spans="2:30" x14ac:dyDescent="0.25">
      <c r="B75" t="s">
        <v>81</v>
      </c>
      <c r="C75" t="s">
        <v>33</v>
      </c>
      <c r="D75" t="s">
        <v>96</v>
      </c>
      <c r="E75">
        <v>42398</v>
      </c>
      <c r="F75">
        <v>42402</v>
      </c>
      <c r="G75">
        <v>42768</v>
      </c>
      <c r="H75">
        <v>-3.9500000000000004E-3</v>
      </c>
      <c r="I75" t="s">
        <v>120</v>
      </c>
      <c r="K75" s="5" t="s">
        <v>17</v>
      </c>
      <c r="L75" s="4" t="s">
        <v>30</v>
      </c>
      <c r="M75" s="15">
        <f t="shared" ref="M75:O75" si="8">M26</f>
        <v>-0.32722054399025002</v>
      </c>
      <c r="N75" s="15">
        <f t="shared" si="8"/>
        <v>-0.577945910175794</v>
      </c>
      <c r="O75" s="15">
        <f t="shared" si="8"/>
        <v>1.2781934466089481E-2</v>
      </c>
      <c r="W75" s="38" t="s">
        <v>81</v>
      </c>
      <c r="X75" s="38" t="s">
        <v>32</v>
      </c>
      <c r="Y75" s="38" t="s">
        <v>95</v>
      </c>
      <c r="Z75" s="40">
        <v>42398</v>
      </c>
      <c r="AA75" s="40">
        <v>42402</v>
      </c>
      <c r="AB75" s="40">
        <v>42737</v>
      </c>
      <c r="AC75" s="42">
        <v>-3.9300000000000003E-3</v>
      </c>
      <c r="AD75" s="42" t="s">
        <v>120</v>
      </c>
    </row>
    <row r="76" spans="2:30" x14ac:dyDescent="0.25">
      <c r="B76" t="s">
        <v>81</v>
      </c>
      <c r="C76" t="s">
        <v>34</v>
      </c>
      <c r="D76" t="s">
        <v>97</v>
      </c>
      <c r="E76">
        <v>42398</v>
      </c>
      <c r="F76">
        <v>42402</v>
      </c>
      <c r="G76">
        <v>42857</v>
      </c>
      <c r="H76">
        <v>-4.0800000000000003E-3</v>
      </c>
      <c r="I76" t="s">
        <v>120</v>
      </c>
      <c r="K76" s="5" t="s">
        <v>17</v>
      </c>
      <c r="L76" s="4" t="s">
        <v>31</v>
      </c>
      <c r="M76" s="15">
        <f t="shared" ref="M76:O76" si="9">M27</f>
        <v>-0.31265805033991201</v>
      </c>
      <c r="N76" s="15">
        <f t="shared" si="9"/>
        <v>-0.53855527465965203</v>
      </c>
      <c r="O76" s="15">
        <f t="shared" si="9"/>
        <v>-6.3244020394878997E-3</v>
      </c>
      <c r="W76" s="38" t="s">
        <v>81</v>
      </c>
      <c r="X76" s="38" t="s">
        <v>33</v>
      </c>
      <c r="Y76" s="38" t="s">
        <v>96</v>
      </c>
      <c r="Z76" s="40">
        <v>42398</v>
      </c>
      <c r="AA76" s="40">
        <v>42402</v>
      </c>
      <c r="AB76" s="40">
        <v>42768</v>
      </c>
      <c r="AC76" s="42">
        <v>-3.9500000000000004E-3</v>
      </c>
      <c r="AD76" s="42" t="s">
        <v>120</v>
      </c>
    </row>
    <row r="77" spans="2:30" x14ac:dyDescent="0.25">
      <c r="B77" t="s">
        <v>81</v>
      </c>
      <c r="C77" t="s">
        <v>35</v>
      </c>
      <c r="D77" t="s">
        <v>98</v>
      </c>
      <c r="E77">
        <v>42398</v>
      </c>
      <c r="F77">
        <v>42402</v>
      </c>
      <c r="G77">
        <v>42949</v>
      </c>
      <c r="H77">
        <v>-4.15E-3</v>
      </c>
      <c r="I77" t="s">
        <v>119</v>
      </c>
      <c r="K77" s="5" t="s">
        <v>17</v>
      </c>
      <c r="L77" s="4" t="s">
        <v>32</v>
      </c>
      <c r="M77" s="15">
        <f t="shared" ref="M77:O77" si="10">M28</f>
        <v>-0.267924954064237</v>
      </c>
      <c r="N77" s="15">
        <f t="shared" si="10"/>
        <v>-0.47283853543538301</v>
      </c>
      <c r="O77" s="15">
        <f t="shared" si="10"/>
        <v>9.9532941312280993E-3</v>
      </c>
      <c r="W77" s="38" t="s">
        <v>81</v>
      </c>
      <c r="X77" s="38" t="s">
        <v>34</v>
      </c>
      <c r="Y77" s="38" t="s">
        <v>97</v>
      </c>
      <c r="Z77" s="40">
        <v>42398</v>
      </c>
      <c r="AA77" s="40">
        <v>42402</v>
      </c>
      <c r="AB77" s="40">
        <v>42857</v>
      </c>
      <c r="AC77" s="42">
        <v>-4.0800000000000003E-3</v>
      </c>
      <c r="AD77" s="42" t="s">
        <v>120</v>
      </c>
    </row>
    <row r="78" spans="2:30" x14ac:dyDescent="0.25">
      <c r="B78" t="s">
        <v>81</v>
      </c>
      <c r="C78" t="s">
        <v>36</v>
      </c>
      <c r="D78" t="s">
        <v>99</v>
      </c>
      <c r="E78">
        <v>42398</v>
      </c>
      <c r="F78">
        <v>42402</v>
      </c>
      <c r="G78">
        <v>43041</v>
      </c>
      <c r="H78">
        <v>-4.1600000000000005E-3</v>
      </c>
      <c r="I78" t="s">
        <v>119</v>
      </c>
      <c r="K78" s="5" t="s">
        <v>17</v>
      </c>
      <c r="L78" s="4" t="s">
        <v>33</v>
      </c>
      <c r="M78" s="15">
        <f t="shared" ref="M78:O78" si="11">M29</f>
        <v>-0.60273336821785295</v>
      </c>
      <c r="N78" s="15">
        <f t="shared" si="11"/>
        <v>-0.79021650414213196</v>
      </c>
      <c r="O78" s="15">
        <f t="shared" si="11"/>
        <v>-0.34849211671812003</v>
      </c>
      <c r="W78" s="38" t="s">
        <v>81</v>
      </c>
      <c r="X78" s="38" t="s">
        <v>35</v>
      </c>
      <c r="Y78" s="38" t="s">
        <v>98</v>
      </c>
      <c r="Z78" s="40">
        <v>42398</v>
      </c>
      <c r="AA78" s="40">
        <v>42402</v>
      </c>
      <c r="AB78" s="40">
        <v>42949</v>
      </c>
      <c r="AC78" s="42">
        <v>-4.15E-3</v>
      </c>
      <c r="AD78" s="42" t="s">
        <v>119</v>
      </c>
    </row>
    <row r="79" spans="2:30" x14ac:dyDescent="0.25">
      <c r="B79" t="s">
        <v>81</v>
      </c>
      <c r="C79" t="s">
        <v>37</v>
      </c>
      <c r="D79" t="s">
        <v>100</v>
      </c>
      <c r="E79">
        <v>42398</v>
      </c>
      <c r="F79">
        <v>42402</v>
      </c>
      <c r="G79">
        <v>43133</v>
      </c>
      <c r="H79">
        <v>-4.13E-3</v>
      </c>
      <c r="I79" t="s">
        <v>119</v>
      </c>
      <c r="K79" s="6" t="s">
        <v>17</v>
      </c>
      <c r="L79" s="7" t="s">
        <v>34</v>
      </c>
      <c r="M79" s="15">
        <f t="shared" ref="M79:O79" si="12">M30</f>
        <v>-0.24182208117434939</v>
      </c>
      <c r="N79" s="15">
        <f t="shared" si="12"/>
        <v>-0.39259691197477548</v>
      </c>
      <c r="O79" s="15">
        <f t="shared" si="12"/>
        <v>-3.7064622122398583E-2</v>
      </c>
      <c r="W79" s="38" t="s">
        <v>81</v>
      </c>
      <c r="X79" s="38" t="s">
        <v>36</v>
      </c>
      <c r="Y79" s="38" t="s">
        <v>99</v>
      </c>
      <c r="Z79" s="40">
        <v>42398</v>
      </c>
      <c r="AA79" s="40">
        <v>42402</v>
      </c>
      <c r="AB79" s="40">
        <v>43041</v>
      </c>
      <c r="AC79" s="42">
        <v>-4.1600000000000005E-3</v>
      </c>
      <c r="AD79" s="42" t="s">
        <v>119</v>
      </c>
    </row>
    <row r="80" spans="2:30" x14ac:dyDescent="0.25">
      <c r="B80" t="s">
        <v>81</v>
      </c>
      <c r="C80" t="s">
        <v>38</v>
      </c>
      <c r="D80" t="s">
        <v>101</v>
      </c>
      <c r="E80">
        <v>42398</v>
      </c>
      <c r="F80">
        <v>42402</v>
      </c>
      <c r="G80">
        <v>43500</v>
      </c>
      <c r="H80">
        <v>-3.7299999999999998E-3</v>
      </c>
      <c r="I80" t="s">
        <v>119</v>
      </c>
      <c r="K80" s="60" t="s">
        <v>122</v>
      </c>
      <c r="L80" s="61"/>
      <c r="M80" s="55">
        <f t="shared" ref="M80:O81" si="13">M31</f>
        <v>0.56897003643232025</v>
      </c>
      <c r="N80" s="55">
        <f t="shared" si="13"/>
        <v>1.2014492834196431</v>
      </c>
      <c r="O80" s="55">
        <f t="shared" si="13"/>
        <v>0.13958504895322815</v>
      </c>
      <c r="W80" s="38" t="s">
        <v>81</v>
      </c>
      <c r="X80" s="38" t="s">
        <v>37</v>
      </c>
      <c r="Y80" s="38" t="s">
        <v>100</v>
      </c>
      <c r="Z80" s="40">
        <v>42398</v>
      </c>
      <c r="AA80" s="40">
        <v>42402</v>
      </c>
      <c r="AB80" s="40">
        <v>43133</v>
      </c>
      <c r="AC80" s="42">
        <v>-4.13E-3</v>
      </c>
      <c r="AD80" s="42" t="s">
        <v>119</v>
      </c>
    </row>
    <row r="81" spans="2:30" x14ac:dyDescent="0.25">
      <c r="B81" t="s">
        <v>81</v>
      </c>
      <c r="C81" t="s">
        <v>39</v>
      </c>
      <c r="D81" t="s">
        <v>102</v>
      </c>
      <c r="E81">
        <v>42398</v>
      </c>
      <c r="F81">
        <v>42402</v>
      </c>
      <c r="G81">
        <v>43864</v>
      </c>
      <c r="H81">
        <v>-2.9200000000000003E-3</v>
      </c>
      <c r="I81" t="s">
        <v>119</v>
      </c>
      <c r="K81" s="60" t="s">
        <v>121</v>
      </c>
      <c r="L81" s="61"/>
      <c r="M81" s="55">
        <f t="shared" si="13"/>
        <v>-1.0893093121565001</v>
      </c>
      <c r="N81" s="55">
        <f t="shared" si="13"/>
        <v>-2.6181945621922602</v>
      </c>
      <c r="O81" s="55">
        <f t="shared" si="13"/>
        <v>-0.32097828831465702</v>
      </c>
      <c r="W81" s="38" t="s">
        <v>81</v>
      </c>
      <c r="X81" s="38" t="s">
        <v>38</v>
      </c>
      <c r="Y81" s="38" t="s">
        <v>101</v>
      </c>
      <c r="Z81" s="40">
        <v>42398</v>
      </c>
      <c r="AA81" s="40">
        <v>42402</v>
      </c>
      <c r="AB81" s="40">
        <v>43500</v>
      </c>
      <c r="AC81" s="42">
        <v>-3.7299999999999998E-3</v>
      </c>
      <c r="AD81" s="42" t="s">
        <v>119</v>
      </c>
    </row>
    <row r="82" spans="2:30" x14ac:dyDescent="0.25">
      <c r="B82" t="s">
        <v>81</v>
      </c>
      <c r="C82" t="s">
        <v>40</v>
      </c>
      <c r="D82" t="s">
        <v>103</v>
      </c>
      <c r="E82">
        <v>42398</v>
      </c>
      <c r="F82">
        <v>42402</v>
      </c>
      <c r="G82">
        <v>44229</v>
      </c>
      <c r="H82">
        <v>-1.8699999999999999E-3</v>
      </c>
      <c r="I82" t="s">
        <v>119</v>
      </c>
      <c r="W82" s="38" t="s">
        <v>81</v>
      </c>
      <c r="X82" s="38" t="s">
        <v>39</v>
      </c>
      <c r="Y82" s="38" t="s">
        <v>102</v>
      </c>
      <c r="Z82" s="40">
        <v>42398</v>
      </c>
      <c r="AA82" s="40">
        <v>42402</v>
      </c>
      <c r="AB82" s="40">
        <v>43864</v>
      </c>
      <c r="AC82" s="42">
        <v>-2.9200000000000003E-3</v>
      </c>
      <c r="AD82" s="42" t="s">
        <v>119</v>
      </c>
    </row>
    <row r="83" spans="2:30" x14ac:dyDescent="0.25">
      <c r="B83" t="s">
        <v>81</v>
      </c>
      <c r="C83" t="s">
        <v>41</v>
      </c>
      <c r="D83" t="s">
        <v>104</v>
      </c>
      <c r="E83">
        <v>42398</v>
      </c>
      <c r="F83">
        <v>42402</v>
      </c>
      <c r="G83">
        <v>44594</v>
      </c>
      <c r="H83">
        <v>-6.2E-4</v>
      </c>
      <c r="I83" t="s">
        <v>119</v>
      </c>
      <c r="K83" s="60" t="s">
        <v>62</v>
      </c>
      <c r="L83" s="62"/>
      <c r="M83" s="62"/>
      <c r="N83" s="62"/>
      <c r="O83" s="62"/>
      <c r="P83" s="61"/>
      <c r="W83" s="38" t="s">
        <v>81</v>
      </c>
      <c r="X83" s="38" t="s">
        <v>40</v>
      </c>
      <c r="Y83" s="38" t="s">
        <v>103</v>
      </c>
      <c r="Z83" s="40">
        <v>42398</v>
      </c>
      <c r="AA83" s="40">
        <v>42402</v>
      </c>
      <c r="AB83" s="40">
        <v>44229</v>
      </c>
      <c r="AC83" s="42">
        <v>-1.8699999999999999E-3</v>
      </c>
      <c r="AD83" s="42" t="s">
        <v>119</v>
      </c>
    </row>
    <row r="84" spans="2:30" x14ac:dyDescent="0.25">
      <c r="B84" t="s">
        <v>81</v>
      </c>
      <c r="C84" t="s">
        <v>42</v>
      </c>
      <c r="D84" t="s">
        <v>105</v>
      </c>
      <c r="E84">
        <v>42398</v>
      </c>
      <c r="F84">
        <v>42402</v>
      </c>
      <c r="G84">
        <v>44959</v>
      </c>
      <c r="H84">
        <v>6.9000000000000008E-4</v>
      </c>
      <c r="I84" t="s">
        <v>119</v>
      </c>
      <c r="K84" s="58" t="s">
        <v>1</v>
      </c>
      <c r="L84" s="59"/>
      <c r="M84" s="45" t="s">
        <v>2</v>
      </c>
      <c r="N84" s="45" t="s">
        <v>3</v>
      </c>
      <c r="O84" s="45" t="s">
        <v>4</v>
      </c>
      <c r="P84" s="45" t="s">
        <v>5</v>
      </c>
      <c r="W84" s="38" t="s">
        <v>81</v>
      </c>
      <c r="X84" s="38" t="s">
        <v>41</v>
      </c>
      <c r="Y84" s="38" t="s">
        <v>104</v>
      </c>
      <c r="Z84" s="40">
        <v>42398</v>
      </c>
      <c r="AA84" s="40">
        <v>42402</v>
      </c>
      <c r="AB84" s="40">
        <v>44594</v>
      </c>
      <c r="AC84" s="42">
        <v>-6.2E-4</v>
      </c>
      <c r="AD84" s="42" t="s">
        <v>119</v>
      </c>
    </row>
    <row r="85" spans="2:30" x14ac:dyDescent="0.25">
      <c r="B85" t="s">
        <v>81</v>
      </c>
      <c r="C85" t="s">
        <v>43</v>
      </c>
      <c r="D85" t="s">
        <v>106</v>
      </c>
      <c r="E85">
        <v>42398</v>
      </c>
      <c r="F85">
        <v>42402</v>
      </c>
      <c r="G85">
        <v>45324</v>
      </c>
      <c r="H85">
        <v>1.99E-3</v>
      </c>
      <c r="I85" t="s">
        <v>119</v>
      </c>
      <c r="K85" s="8" t="s">
        <v>17</v>
      </c>
      <c r="L85" s="3" t="s">
        <v>23</v>
      </c>
      <c r="M85" s="29">
        <v>-1.2197634189367937E-3</v>
      </c>
      <c r="N85" s="30">
        <v>0.97073093711742831</v>
      </c>
      <c r="O85" s="29">
        <v>-1.2197634833991181E-3</v>
      </c>
      <c r="P85" s="30">
        <v>-1.2197634833991181E-3</v>
      </c>
      <c r="W85" s="38" t="s">
        <v>81</v>
      </c>
      <c r="X85" s="38" t="s">
        <v>42</v>
      </c>
      <c r="Y85" s="38" t="s">
        <v>105</v>
      </c>
      <c r="Z85" s="40">
        <v>42398</v>
      </c>
      <c r="AA85" s="40">
        <v>42402</v>
      </c>
      <c r="AB85" s="40">
        <v>44959</v>
      </c>
      <c r="AC85" s="42">
        <v>6.9000000000000008E-4</v>
      </c>
      <c r="AD85" s="42" t="s">
        <v>119</v>
      </c>
    </row>
    <row r="86" spans="2:30" x14ac:dyDescent="0.25">
      <c r="B86" t="s">
        <v>81</v>
      </c>
      <c r="C86" t="s">
        <v>44</v>
      </c>
      <c r="D86" t="s">
        <v>107</v>
      </c>
      <c r="E86">
        <v>42398</v>
      </c>
      <c r="F86">
        <v>42402</v>
      </c>
      <c r="G86">
        <v>45691</v>
      </c>
      <c r="H86">
        <v>3.2299999999999994E-3</v>
      </c>
      <c r="I86" t="s">
        <v>119</v>
      </c>
      <c r="K86" s="5" t="s">
        <v>17</v>
      </c>
      <c r="L86" s="4" t="s">
        <v>24</v>
      </c>
      <c r="M86" s="23">
        <v>-5.1963937908005957E-2</v>
      </c>
      <c r="N86" s="24">
        <v>-8.6489773454090202E-2</v>
      </c>
      <c r="O86" s="23">
        <v>-5.196393795685577E-2</v>
      </c>
      <c r="P86" s="24">
        <v>-5.196393795685577E-2</v>
      </c>
      <c r="W86" s="38" t="s">
        <v>81</v>
      </c>
      <c r="X86" s="38" t="s">
        <v>43</v>
      </c>
      <c r="Y86" s="38" t="s">
        <v>106</v>
      </c>
      <c r="Z86" s="40">
        <v>42398</v>
      </c>
      <c r="AA86" s="40">
        <v>42402</v>
      </c>
      <c r="AB86" s="40">
        <v>45324</v>
      </c>
      <c r="AC86" s="42">
        <v>1.99E-3</v>
      </c>
      <c r="AD86" s="42" t="s">
        <v>119</v>
      </c>
    </row>
    <row r="87" spans="2:30" x14ac:dyDescent="0.25">
      <c r="B87" t="s">
        <v>81</v>
      </c>
      <c r="C87" t="s">
        <v>45</v>
      </c>
      <c r="D87" t="s">
        <v>108</v>
      </c>
      <c r="E87">
        <v>42398</v>
      </c>
      <c r="F87">
        <v>42402</v>
      </c>
      <c r="G87">
        <v>46055</v>
      </c>
      <c r="H87">
        <v>4.3699999999999998E-3</v>
      </c>
      <c r="I87" t="s">
        <v>119</v>
      </c>
      <c r="K87" s="5" t="s">
        <v>17</v>
      </c>
      <c r="L87" s="4" t="s">
        <v>25</v>
      </c>
      <c r="M87" s="23">
        <v>5.1277867519497825E-2</v>
      </c>
      <c r="N87" s="24">
        <v>0.11784472836943571</v>
      </c>
      <c r="O87" s="23">
        <v>5.1277867493073649E-2</v>
      </c>
      <c r="P87" s="24">
        <v>5.1277867493073649E-2</v>
      </c>
      <c r="W87" s="38" t="s">
        <v>81</v>
      </c>
      <c r="X87" s="38" t="s">
        <v>44</v>
      </c>
      <c r="Y87" s="38" t="s">
        <v>107</v>
      </c>
      <c r="Z87" s="40">
        <v>42398</v>
      </c>
      <c r="AA87" s="40">
        <v>42402</v>
      </c>
      <c r="AB87" s="40">
        <v>45691</v>
      </c>
      <c r="AC87" s="42">
        <v>3.2299999999999994E-3</v>
      </c>
      <c r="AD87" s="42" t="s">
        <v>119</v>
      </c>
    </row>
    <row r="88" spans="2:30" x14ac:dyDescent="0.25">
      <c r="B88" t="s">
        <v>81</v>
      </c>
      <c r="C88" t="s">
        <v>46</v>
      </c>
      <c r="D88" t="s">
        <v>109</v>
      </c>
      <c r="E88">
        <v>42398</v>
      </c>
      <c r="F88">
        <v>42402</v>
      </c>
      <c r="G88">
        <v>46420</v>
      </c>
      <c r="H88">
        <v>5.3900000000000007E-3</v>
      </c>
      <c r="I88" t="s">
        <v>119</v>
      </c>
      <c r="K88" s="5" t="s">
        <v>17</v>
      </c>
      <c r="L88" s="4" t="s">
        <v>26</v>
      </c>
      <c r="M88" s="23">
        <v>-2.7600938268296411E-2</v>
      </c>
      <c r="N88" s="24">
        <v>0.16006959364129636</v>
      </c>
      <c r="O88" s="23">
        <v>-2.7600938297027769E-2</v>
      </c>
      <c r="P88" s="24">
        <v>-2.7600938297027769E-2</v>
      </c>
      <c r="W88" s="38" t="s">
        <v>81</v>
      </c>
      <c r="X88" s="38" t="s">
        <v>45</v>
      </c>
      <c r="Y88" s="38" t="s">
        <v>108</v>
      </c>
      <c r="Z88" s="40">
        <v>42398</v>
      </c>
      <c r="AA88" s="40">
        <v>42402</v>
      </c>
      <c r="AB88" s="40">
        <v>46055</v>
      </c>
      <c r="AC88" s="42">
        <v>4.3699999999999998E-3</v>
      </c>
      <c r="AD88" s="42" t="s">
        <v>119</v>
      </c>
    </row>
    <row r="89" spans="2:30" x14ac:dyDescent="0.25">
      <c r="B89" t="s">
        <v>81</v>
      </c>
      <c r="C89" t="s">
        <v>47</v>
      </c>
      <c r="D89" t="s">
        <v>110</v>
      </c>
      <c r="E89">
        <v>42398</v>
      </c>
      <c r="F89">
        <v>42402</v>
      </c>
      <c r="G89">
        <v>46785</v>
      </c>
      <c r="H89">
        <v>6.3099999999999996E-3</v>
      </c>
      <c r="I89" t="s">
        <v>119</v>
      </c>
      <c r="K89" s="5" t="s">
        <v>17</v>
      </c>
      <c r="L89" s="4" t="s">
        <v>27</v>
      </c>
      <c r="M89" s="23">
        <v>-0.32097828753945273</v>
      </c>
      <c r="N89" s="24">
        <v>-0.3223209289572766</v>
      </c>
      <c r="O89" s="23">
        <v>-0.32097828756141</v>
      </c>
      <c r="P89" s="24">
        <v>-0.32097828756140567</v>
      </c>
      <c r="W89" s="38" t="s">
        <v>81</v>
      </c>
      <c r="X89" s="38" t="s">
        <v>46</v>
      </c>
      <c r="Y89" s="38" t="s">
        <v>109</v>
      </c>
      <c r="Z89" s="40">
        <v>42398</v>
      </c>
      <c r="AA89" s="40">
        <v>42402</v>
      </c>
      <c r="AB89" s="40">
        <v>46420</v>
      </c>
      <c r="AC89" s="42">
        <v>5.3900000000000007E-3</v>
      </c>
      <c r="AD89" s="42" t="s">
        <v>119</v>
      </c>
    </row>
    <row r="90" spans="2:30" x14ac:dyDescent="0.25">
      <c r="B90" t="s">
        <v>81</v>
      </c>
      <c r="C90" t="s">
        <v>48</v>
      </c>
      <c r="D90" t="s">
        <v>111</v>
      </c>
      <c r="E90">
        <v>42398</v>
      </c>
      <c r="F90">
        <v>42402</v>
      </c>
      <c r="G90">
        <v>47882</v>
      </c>
      <c r="H90">
        <v>8.4099999999999991E-3</v>
      </c>
      <c r="I90" t="s">
        <v>119</v>
      </c>
      <c r="K90" s="5" t="s">
        <v>17</v>
      </c>
      <c r="L90" s="4" t="s">
        <v>28</v>
      </c>
      <c r="M90" s="23">
        <v>-1.5484391463192228E-2</v>
      </c>
      <c r="N90" s="24">
        <v>7.1687001534188541E-3</v>
      </c>
      <c r="O90" s="23">
        <v>-1.5484391480079761E-2</v>
      </c>
      <c r="P90" s="24">
        <v>-1.5484391480079761E-2</v>
      </c>
      <c r="W90" s="38" t="s">
        <v>81</v>
      </c>
      <c r="X90" s="38" t="s">
        <v>47</v>
      </c>
      <c r="Y90" s="38" t="s">
        <v>110</v>
      </c>
      <c r="Z90" s="40">
        <v>42398</v>
      </c>
      <c r="AA90" s="40">
        <v>42402</v>
      </c>
      <c r="AB90" s="40">
        <v>46785</v>
      </c>
      <c r="AC90" s="42">
        <v>6.3099999999999996E-3</v>
      </c>
      <c r="AD90" s="42" t="s">
        <v>119</v>
      </c>
    </row>
    <row r="91" spans="2:30" x14ac:dyDescent="0.25">
      <c r="B91" t="s">
        <v>81</v>
      </c>
      <c r="C91" t="s">
        <v>49</v>
      </c>
      <c r="D91" t="s">
        <v>112</v>
      </c>
      <c r="E91">
        <v>42398</v>
      </c>
      <c r="F91">
        <v>42402</v>
      </c>
      <c r="G91">
        <v>49709</v>
      </c>
      <c r="H91">
        <v>1.0280000000000001E-2</v>
      </c>
      <c r="I91" t="s">
        <v>119</v>
      </c>
      <c r="K91" s="5" t="s">
        <v>17</v>
      </c>
      <c r="L91" s="4" t="s">
        <v>29</v>
      </c>
      <c r="M91" s="23">
        <v>-3.6401192629298938E-2</v>
      </c>
      <c r="N91" s="24">
        <v>-5.8859805131174919E-3</v>
      </c>
      <c r="O91" s="23">
        <v>-3.6401192642404774E-2</v>
      </c>
      <c r="P91" s="24">
        <v>-3.6401192642387427E-2</v>
      </c>
      <c r="W91" s="38" t="s">
        <v>81</v>
      </c>
      <c r="X91" s="38" t="s">
        <v>48</v>
      </c>
      <c r="Y91" s="38" t="s">
        <v>111</v>
      </c>
      <c r="Z91" s="40">
        <v>42398</v>
      </c>
      <c r="AA91" s="40">
        <v>42402</v>
      </c>
      <c r="AB91" s="40">
        <v>47882</v>
      </c>
      <c r="AC91" s="42">
        <v>8.4099999999999991E-3</v>
      </c>
      <c r="AD91" s="42" t="s">
        <v>119</v>
      </c>
    </row>
    <row r="92" spans="2:30" x14ac:dyDescent="0.25">
      <c r="B92" t="s">
        <v>81</v>
      </c>
      <c r="C92" t="s">
        <v>50</v>
      </c>
      <c r="D92" t="s">
        <v>113</v>
      </c>
      <c r="E92">
        <v>42398</v>
      </c>
      <c r="F92">
        <v>42402</v>
      </c>
      <c r="G92">
        <v>51536</v>
      </c>
      <c r="H92">
        <v>1.0920000000000001E-2</v>
      </c>
      <c r="I92" t="s">
        <v>119</v>
      </c>
      <c r="K92" s="5" t="s">
        <v>17</v>
      </c>
      <c r="L92" s="4" t="s">
        <v>30</v>
      </c>
      <c r="M92" s="23">
        <v>1.2781934979545946E-2</v>
      </c>
      <c r="N92" s="24">
        <v>1.4333264037463822E-2</v>
      </c>
      <c r="O92" s="23">
        <v>1.2781934967879931E-2</v>
      </c>
      <c r="P92" s="24">
        <v>1.2781934967875594E-2</v>
      </c>
      <c r="W92" s="38" t="s">
        <v>81</v>
      </c>
      <c r="X92" s="38" t="s">
        <v>49</v>
      </c>
      <c r="Y92" s="38" t="s">
        <v>112</v>
      </c>
      <c r="Z92" s="40">
        <v>42398</v>
      </c>
      <c r="AA92" s="40">
        <v>42402</v>
      </c>
      <c r="AB92" s="40">
        <v>49709</v>
      </c>
      <c r="AC92" s="42">
        <v>1.0280000000000001E-2</v>
      </c>
      <c r="AD92" s="42" t="s">
        <v>119</v>
      </c>
    </row>
    <row r="93" spans="2:30" x14ac:dyDescent="0.25">
      <c r="B93" t="s">
        <v>81</v>
      </c>
      <c r="C93" t="s">
        <v>51</v>
      </c>
      <c r="D93" t="s">
        <v>114</v>
      </c>
      <c r="E93">
        <v>42398</v>
      </c>
      <c r="F93">
        <v>42402</v>
      </c>
      <c r="G93">
        <v>53360</v>
      </c>
      <c r="H93">
        <v>1.1160000000000002E-2</v>
      </c>
      <c r="I93" t="s">
        <v>119</v>
      </c>
      <c r="K93" s="5" t="s">
        <v>17</v>
      </c>
      <c r="L93" s="4" t="s">
        <v>31</v>
      </c>
      <c r="M93" s="23">
        <v>-6.3244015767027068E-3</v>
      </c>
      <c r="N93" s="24">
        <v>-2.2140041148295195E-3</v>
      </c>
      <c r="O93" s="23">
        <v>-6.3244015872194678E-3</v>
      </c>
      <c r="P93" s="24">
        <v>-6.3244015872238046E-3</v>
      </c>
      <c r="W93" s="38" t="s">
        <v>81</v>
      </c>
      <c r="X93" s="38" t="s">
        <v>50</v>
      </c>
      <c r="Y93" s="38" t="s">
        <v>113</v>
      </c>
      <c r="Z93" s="40">
        <v>42398</v>
      </c>
      <c r="AA93" s="40">
        <v>42402</v>
      </c>
      <c r="AB93" s="40">
        <v>51536</v>
      </c>
      <c r="AC93" s="42">
        <v>1.0920000000000001E-2</v>
      </c>
      <c r="AD93" s="42" t="s">
        <v>119</v>
      </c>
    </row>
    <row r="94" spans="2:30" x14ac:dyDescent="0.25">
      <c r="B94" t="s">
        <v>81</v>
      </c>
      <c r="C94" t="s">
        <v>52</v>
      </c>
      <c r="D94" t="s">
        <v>115</v>
      </c>
      <c r="E94">
        <v>42398</v>
      </c>
      <c r="F94">
        <v>42402</v>
      </c>
      <c r="G94">
        <v>57012</v>
      </c>
      <c r="H94">
        <v>1.1379999999999999E-2</v>
      </c>
      <c r="I94" t="s">
        <v>119</v>
      </c>
      <c r="K94" s="5" t="s">
        <v>17</v>
      </c>
      <c r="L94" s="4" t="s">
        <v>32</v>
      </c>
      <c r="M94" s="23">
        <v>-2.9331179361496637E-2</v>
      </c>
      <c r="N94" s="24">
        <v>-2.6659262870451159E-2</v>
      </c>
      <c r="O94" s="23">
        <v>-2.9331179372234575E-2</v>
      </c>
      <c r="P94" s="24">
        <v>-2.9331179372225902E-2</v>
      </c>
      <c r="W94" s="38" t="s">
        <v>81</v>
      </c>
      <c r="X94" s="38" t="s">
        <v>51</v>
      </c>
      <c r="Y94" s="38" t="s">
        <v>114</v>
      </c>
      <c r="Z94" s="40">
        <v>42398</v>
      </c>
      <c r="AA94" s="40">
        <v>42402</v>
      </c>
      <c r="AB94" s="40">
        <v>53360</v>
      </c>
      <c r="AC94" s="42">
        <v>1.1160000000000002E-2</v>
      </c>
      <c r="AD94" s="42" t="s">
        <v>119</v>
      </c>
    </row>
    <row r="95" spans="2:30" x14ac:dyDescent="0.25">
      <c r="B95" t="s">
        <v>81</v>
      </c>
      <c r="C95" t="s">
        <v>53</v>
      </c>
      <c r="D95" t="s">
        <v>116</v>
      </c>
      <c r="E95">
        <v>42398</v>
      </c>
      <c r="F95">
        <v>42402</v>
      </c>
      <c r="G95">
        <v>60665</v>
      </c>
      <c r="H95">
        <v>1.1089999999999999E-2</v>
      </c>
      <c r="I95" t="s">
        <v>119</v>
      </c>
      <c r="K95" s="5" t="s">
        <v>17</v>
      </c>
      <c r="L95" s="4" t="s">
        <v>33</v>
      </c>
      <c r="M95" s="23">
        <v>-0.3485357734968591</v>
      </c>
      <c r="N95" s="24">
        <v>-0.35523695216892714</v>
      </c>
      <c r="O95" s="23">
        <v>-0.34853577350450921</v>
      </c>
      <c r="P95" s="24">
        <v>-0.34853577350450055</v>
      </c>
      <c r="W95" s="38" t="s">
        <v>81</v>
      </c>
      <c r="X95" s="38" t="s">
        <v>52</v>
      </c>
      <c r="Y95" s="38" t="s">
        <v>115</v>
      </c>
      <c r="Z95" s="40">
        <v>42398</v>
      </c>
      <c r="AA95" s="40">
        <v>42402</v>
      </c>
      <c r="AB95" s="40">
        <v>57012</v>
      </c>
      <c r="AC95" s="42">
        <v>1.1379999999999999E-2</v>
      </c>
      <c r="AD95" s="42" t="s">
        <v>119</v>
      </c>
    </row>
    <row r="96" spans="2:30" x14ac:dyDescent="0.25">
      <c r="B96" t="s">
        <v>81</v>
      </c>
      <c r="C96" t="s">
        <v>54</v>
      </c>
      <c r="D96" t="s">
        <v>117</v>
      </c>
      <c r="E96">
        <v>42398</v>
      </c>
      <c r="F96">
        <v>42402</v>
      </c>
      <c r="G96">
        <v>64318</v>
      </c>
      <c r="H96">
        <v>1.1049999999999999E-2</v>
      </c>
      <c r="I96" t="s">
        <v>119</v>
      </c>
      <c r="K96" s="6" t="s">
        <v>17</v>
      </c>
      <c r="L96" s="7" t="s">
        <v>34</v>
      </c>
      <c r="M96" s="26">
        <v>-3.7360055589854071E-2</v>
      </c>
      <c r="N96" s="27">
        <v>-3.7040795362233009E-2</v>
      </c>
      <c r="O96" s="26">
        <v>-3.7360055594494457E-2</v>
      </c>
      <c r="P96" s="27">
        <v>-3.7360055594173533E-2</v>
      </c>
      <c r="W96" s="38" t="s">
        <v>81</v>
      </c>
      <c r="X96" s="38" t="s">
        <v>53</v>
      </c>
      <c r="Y96" s="38" t="s">
        <v>116</v>
      </c>
      <c r="Z96" s="40">
        <v>42398</v>
      </c>
      <c r="AA96" s="40">
        <v>42402</v>
      </c>
      <c r="AB96" s="40">
        <v>60665</v>
      </c>
      <c r="AC96" s="42">
        <v>1.1089999999999999E-2</v>
      </c>
      <c r="AD96" s="42" t="s">
        <v>119</v>
      </c>
    </row>
    <row r="97" spans="11:30" x14ac:dyDescent="0.25">
      <c r="K97" s="60" t="s">
        <v>122</v>
      </c>
      <c r="L97" s="61"/>
      <c r="M97" s="56">
        <f>M114</f>
        <v>0.48437743299261471</v>
      </c>
      <c r="N97" s="56">
        <f>N114</f>
        <v>1.1053379019786971</v>
      </c>
      <c r="O97" s="56">
        <f>O114</f>
        <v>0.48437743301927477</v>
      </c>
      <c r="P97" s="56">
        <f>P114</f>
        <v>0.48437743301923902</v>
      </c>
      <c r="W97" s="39" t="s">
        <v>81</v>
      </c>
      <c r="X97" s="39" t="s">
        <v>54</v>
      </c>
      <c r="Y97" s="39" t="s">
        <v>117</v>
      </c>
      <c r="Z97" s="41">
        <v>42398</v>
      </c>
      <c r="AA97" s="41">
        <v>42402</v>
      </c>
      <c r="AB97" s="41">
        <v>64318</v>
      </c>
      <c r="AC97" s="43">
        <v>1.1049999999999999E-2</v>
      </c>
      <c r="AD97" s="43" t="s">
        <v>119</v>
      </c>
    </row>
    <row r="98" spans="11:30" x14ac:dyDescent="0.25">
      <c r="K98" s="60" t="s">
        <v>121</v>
      </c>
      <c r="L98" s="61"/>
      <c r="M98" s="56">
        <f>M95</f>
        <v>-0.3485357734968591</v>
      </c>
      <c r="N98" s="56">
        <f>N85</f>
        <v>0.97073093711742831</v>
      </c>
      <c r="O98" s="56">
        <f>O95</f>
        <v>-0.34853577350450921</v>
      </c>
      <c r="P98" s="56">
        <f>P95</f>
        <v>-0.34853577350450055</v>
      </c>
    </row>
    <row r="101" spans="11:30" x14ac:dyDescent="0.25">
      <c r="M101" s="57">
        <f>M85^2</f>
        <v>1.4878227981763761E-6</v>
      </c>
      <c r="N101" s="57">
        <f>N85^2</f>
        <v>0.94231855227688055</v>
      </c>
      <c r="O101" s="57">
        <f>O85^2</f>
        <v>1.4878229554339506E-6</v>
      </c>
      <c r="P101" s="57">
        <f>P85^2</f>
        <v>1.4878229554339506E-6</v>
      </c>
    </row>
    <row r="102" spans="11:30" x14ac:dyDescent="0.25">
      <c r="M102" s="57">
        <f t="shared" ref="M102:P112" si="14">M86^2</f>
        <v>2.7002508429070987E-3</v>
      </c>
      <c r="N102" s="57">
        <f t="shared" si="14"/>
        <v>7.4804809121398466E-3</v>
      </c>
      <c r="O102" s="57">
        <f t="shared" si="14"/>
        <v>2.700250847983956E-3</v>
      </c>
      <c r="P102" s="57">
        <f t="shared" si="14"/>
        <v>2.700250847983956E-3</v>
      </c>
    </row>
    <row r="103" spans="11:30" x14ac:dyDescent="0.25">
      <c r="M103" s="57">
        <f t="shared" si="14"/>
        <v>2.6294196973471701E-3</v>
      </c>
      <c r="N103" s="57">
        <f t="shared" si="14"/>
        <v>1.3887380004466087E-2</v>
      </c>
      <c r="O103" s="57">
        <f t="shared" si="14"/>
        <v>2.6294196946372193E-3</v>
      </c>
      <c r="P103" s="57">
        <f t="shared" si="14"/>
        <v>2.6294196946372193E-3</v>
      </c>
    </row>
    <row r="104" spans="11:30" x14ac:dyDescent="0.25">
      <c r="M104" s="57">
        <f t="shared" si="14"/>
        <v>7.6181179329030935E-4</v>
      </c>
      <c r="N104" s="57">
        <f t="shared" si="14"/>
        <v>2.5622274808489744E-2</v>
      </c>
      <c r="O104" s="57">
        <f t="shared" si="14"/>
        <v>7.6181179487633417E-4</v>
      </c>
      <c r="P104" s="57">
        <f t="shared" si="14"/>
        <v>7.6181179487633417E-4</v>
      </c>
    </row>
    <row r="105" spans="11:30" x14ac:dyDescent="0.25">
      <c r="M105" s="57">
        <f t="shared" si="14"/>
        <v>0.1030270610717596</v>
      </c>
      <c r="N105" s="57">
        <f t="shared" si="14"/>
        <v>0.10389078124388175</v>
      </c>
      <c r="O105" s="57">
        <f t="shared" si="14"/>
        <v>0.10302706108585521</v>
      </c>
      <c r="P105" s="57">
        <f t="shared" si="14"/>
        <v>0.10302706108585243</v>
      </c>
    </row>
    <row r="106" spans="11:30" x14ac:dyDescent="0.25">
      <c r="M106" s="57">
        <f t="shared" si="14"/>
        <v>2.3976637898538033E-4</v>
      </c>
      <c r="N106" s="57">
        <f t="shared" si="14"/>
        <v>5.1390261889627505E-5</v>
      </c>
      <c r="O106" s="57">
        <f t="shared" si="14"/>
        <v>2.3976637950836669E-4</v>
      </c>
      <c r="P106" s="57">
        <f t="shared" si="14"/>
        <v>2.3976637950836669E-4</v>
      </c>
    </row>
    <row r="107" spans="11:30" x14ac:dyDescent="0.25">
      <c r="M107" s="57">
        <f t="shared" si="14"/>
        <v>1.3250468248353273E-3</v>
      </c>
      <c r="N107" s="57">
        <f t="shared" si="14"/>
        <v>3.4644766600798854E-5</v>
      </c>
      <c r="O107" s="57">
        <f t="shared" si="14"/>
        <v>1.3250468257894634E-3</v>
      </c>
      <c r="P107" s="57">
        <f t="shared" si="14"/>
        <v>1.3250468257882005E-3</v>
      </c>
    </row>
    <row r="108" spans="11:30" x14ac:dyDescent="0.25">
      <c r="M108" s="57">
        <f t="shared" si="14"/>
        <v>1.6337786182134024E-4</v>
      </c>
      <c r="N108" s="57">
        <f t="shared" si="14"/>
        <v>2.054424579676537E-4</v>
      </c>
      <c r="O108" s="57">
        <f t="shared" si="14"/>
        <v>1.6337786152311173E-4</v>
      </c>
      <c r="P108" s="57">
        <f t="shared" si="14"/>
        <v>1.6337786152300087E-4</v>
      </c>
    </row>
    <row r="109" spans="11:30" x14ac:dyDescent="0.25">
      <c r="M109" s="57">
        <f t="shared" si="14"/>
        <v>3.9998055303399683E-5</v>
      </c>
      <c r="N109" s="57">
        <f t="shared" si="14"/>
        <v>4.9018142204820445E-6</v>
      </c>
      <c r="O109" s="57">
        <f t="shared" si="14"/>
        <v>3.9998055436424127E-5</v>
      </c>
      <c r="P109" s="57">
        <f t="shared" si="14"/>
        <v>3.9998055436478981E-5</v>
      </c>
    </row>
    <row r="110" spans="11:30" x14ac:dyDescent="0.25">
      <c r="M110" s="57">
        <f t="shared" si="14"/>
        <v>8.6031808273628625E-4</v>
      </c>
      <c r="N110" s="57">
        <f t="shared" si="14"/>
        <v>7.107162967958157E-4</v>
      </c>
      <c r="O110" s="57">
        <f t="shared" si="14"/>
        <v>8.6031808336619903E-4</v>
      </c>
      <c r="P110" s="57">
        <f t="shared" si="14"/>
        <v>8.6031808336569022E-4</v>
      </c>
    </row>
    <row r="111" spans="11:30" x14ac:dyDescent="0.25">
      <c r="M111" s="57">
        <f t="shared" si="14"/>
        <v>0.12147718540705388</v>
      </c>
      <c r="N111" s="57">
        <f t="shared" si="14"/>
        <v>0.12619329218626862</v>
      </c>
      <c r="O111" s="57">
        <f t="shared" si="14"/>
        <v>0.12147718541238654</v>
      </c>
      <c r="P111" s="57">
        <f t="shared" si="14"/>
        <v>0.12147718541238051</v>
      </c>
    </row>
    <row r="112" spans="11:30" x14ac:dyDescent="0.25">
      <c r="M112" s="57">
        <f t="shared" si="14"/>
        <v>1.3957737536769864E-3</v>
      </c>
      <c r="N112" s="57">
        <f t="shared" si="14"/>
        <v>1.3720205210668223E-3</v>
      </c>
      <c r="O112" s="57">
        <f t="shared" si="14"/>
        <v>1.3957737540237166E-3</v>
      </c>
      <c r="P112" s="57">
        <f t="shared" si="14"/>
        <v>1.3957737539997371E-3</v>
      </c>
    </row>
    <row r="113" spans="13:16" x14ac:dyDescent="0.25">
      <c r="M113" s="57"/>
    </row>
    <row r="114" spans="13:16" x14ac:dyDescent="0.25">
      <c r="M114" s="57">
        <f>SQRT(SUM(M101:M112))</f>
        <v>0.48437743299261471</v>
      </c>
      <c r="N114" s="57">
        <f>SQRT(SUM(N101:N112))</f>
        <v>1.1053379019786971</v>
      </c>
      <c r="O114" s="57">
        <f>SQRT(SUM(O101:O112))</f>
        <v>0.48437743301927477</v>
      </c>
      <c r="P114" s="57">
        <f>SQRT(SUM(P101:P112))</f>
        <v>0.48437743301923902</v>
      </c>
    </row>
  </sheetData>
  <mergeCells count="24">
    <mergeCell ref="AF2:AM2"/>
    <mergeCell ref="C2:H2"/>
    <mergeCell ref="B4:B16"/>
    <mergeCell ref="B17:B28"/>
    <mergeCell ref="W51:AD51"/>
    <mergeCell ref="W2:AD2"/>
    <mergeCell ref="K3:L3"/>
    <mergeCell ref="K2:O2"/>
    <mergeCell ref="R2:U2"/>
    <mergeCell ref="R3:S3"/>
    <mergeCell ref="K17:O17"/>
    <mergeCell ref="K18:L18"/>
    <mergeCell ref="K31:L31"/>
    <mergeCell ref="K32:L32"/>
    <mergeCell ref="B29:B48"/>
    <mergeCell ref="K84:L84"/>
    <mergeCell ref="K97:L97"/>
    <mergeCell ref="K98:L98"/>
    <mergeCell ref="K83:P83"/>
    <mergeCell ref="C3:D3"/>
    <mergeCell ref="K66:O66"/>
    <mergeCell ref="K67:L67"/>
    <mergeCell ref="K80:L80"/>
    <mergeCell ref="K81:L81"/>
  </mergeCells>
  <pageMargins left="0.7" right="0.7" top="0.75" bottom="0.75" header="0.3" footer="0.3"/>
  <ignoredErrors>
    <ignoredError sqref="N9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2016-09-30T09:48:06Z</dcterms:created>
  <dcterms:modified xsi:type="dcterms:W3CDTF">2016-10-14T08:13:35Z</dcterms:modified>
</cp:coreProperties>
</file>