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165" windowWidth="37395" windowHeight="113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30" i="1"/>
  <c r="F19" i="1"/>
  <c r="E20" i="1"/>
  <c r="E21" i="1"/>
  <c r="E22" i="1"/>
  <c r="E23" i="1"/>
  <c r="E24" i="1"/>
  <c r="E25" i="1"/>
  <c r="E26" i="1"/>
  <c r="E27" i="1"/>
  <c r="E28" i="1"/>
  <c r="E29" i="1"/>
  <c r="E30" i="1"/>
  <c r="E19" i="1"/>
  <c r="E32" i="1" s="1"/>
  <c r="E33" i="1" s="1"/>
  <c r="E34" i="1" s="1"/>
  <c r="D29" i="1"/>
  <c r="D30" i="1"/>
  <c r="D20" i="1"/>
  <c r="D21" i="1"/>
  <c r="D22" i="1"/>
  <c r="D23" i="1"/>
  <c r="D24" i="1"/>
  <c r="D25" i="1"/>
  <c r="D26" i="1"/>
  <c r="D27" i="1"/>
  <c r="D28" i="1"/>
  <c r="D19" i="1"/>
  <c r="D17" i="1"/>
  <c r="E17" i="1"/>
  <c r="F17" i="1"/>
  <c r="E51" i="1"/>
  <c r="D32" i="1" l="1"/>
  <c r="D33" i="1" s="1"/>
  <c r="D34" i="1" s="1"/>
  <c r="F32" i="1"/>
  <c r="F33" i="1" s="1"/>
  <c r="F34" i="1" s="1"/>
  <c r="G51" i="1"/>
  <c r="F51" i="1"/>
  <c r="D51" i="1"/>
  <c r="G55" i="1"/>
  <c r="G56" i="1"/>
  <c r="G57" i="1"/>
  <c r="G58" i="1"/>
  <c r="G59" i="1"/>
  <c r="G60" i="1"/>
  <c r="G61" i="1"/>
  <c r="G62" i="1"/>
  <c r="G63" i="1"/>
  <c r="G64" i="1"/>
  <c r="G65" i="1"/>
  <c r="F55" i="1"/>
  <c r="F56" i="1"/>
  <c r="F57" i="1"/>
  <c r="F58" i="1"/>
  <c r="F59" i="1"/>
  <c r="F60" i="1"/>
  <c r="F61" i="1"/>
  <c r="F62" i="1"/>
  <c r="F63" i="1"/>
  <c r="F64" i="1"/>
  <c r="F65" i="1"/>
  <c r="D55" i="1"/>
  <c r="D56" i="1"/>
  <c r="D57" i="1"/>
  <c r="D58" i="1"/>
  <c r="D59" i="1"/>
  <c r="D60" i="1"/>
  <c r="D61" i="1"/>
  <c r="D62" i="1"/>
  <c r="D63" i="1"/>
  <c r="D64" i="1"/>
  <c r="D65" i="1"/>
  <c r="G54" i="1"/>
  <c r="F54" i="1"/>
  <c r="D54" i="1"/>
  <c r="D67" i="1" l="1"/>
  <c r="D68" i="1" s="1"/>
  <c r="D69" i="1" s="1"/>
  <c r="D50" i="1" s="1"/>
  <c r="E67" i="1"/>
  <c r="E68" i="1" s="1"/>
  <c r="E69" i="1" s="1"/>
  <c r="E50" i="1" s="1"/>
  <c r="F67" i="1"/>
  <c r="F68" i="1" s="1"/>
  <c r="F69" i="1" s="1"/>
  <c r="F50" i="1" s="1"/>
  <c r="G67" i="1"/>
  <c r="G68" i="1" s="1"/>
  <c r="G69" i="1" s="1"/>
  <c r="G50" i="1" s="1"/>
</calcChain>
</file>

<file path=xl/sharedStrings.xml><?xml version="1.0" encoding="utf-8"?>
<sst xmlns="http://schemas.openxmlformats.org/spreadsheetml/2006/main" count="399" uniqueCount="159">
  <si>
    <t>Instrumets</t>
  </si>
  <si>
    <t>SplitRange</t>
  </si>
  <si>
    <t>ShareRange</t>
  </si>
  <si>
    <t>ECBOIS</t>
  </si>
  <si>
    <t>MAR16</t>
  </si>
  <si>
    <t>APR16</t>
  </si>
  <si>
    <t>JUN16</t>
  </si>
  <si>
    <t>JUL16</t>
  </si>
  <si>
    <t>SEP16</t>
  </si>
  <si>
    <t>OCT16</t>
  </si>
  <si>
    <t>DEC16</t>
  </si>
  <si>
    <t>JAN17</t>
  </si>
  <si>
    <t>MAR17</t>
  </si>
  <si>
    <t>OIS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</si>
  <si>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</si>
  <si>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</si>
  <si>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</si>
  <si>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</si>
  <si>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</si>
  <si>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</si>
  <si>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</si>
  <si>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</si>
  <si>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</si>
  <si>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</si>
  <si>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</si>
  <si>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</si>
  <si>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</si>
  <si>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</si>
  <si>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</si>
  <si>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</si>
  <si>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</si>
  <si>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</si>
  <si>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</si>
  <si>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</si>
  <si>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</si>
  <si>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</si>
  <si>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</si>
  <si>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</si>
  <si>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</si>
  <si>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</si>
  <si>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</si>
  <si>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</si>
  <si>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</si>
  <si>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</si>
  <si>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</si>
  <si>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</si>
  <si>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</si>
  <si>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</si>
  <si>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</si>
  <si>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60Y</t>
  </si>
  <si>
    <t>Overlapping</t>
  </si>
  <si>
    <t>Excluding</t>
  </si>
  <si>
    <t>Stub</t>
  </si>
  <si>
    <t>Tenor</t>
  </si>
  <si>
    <t>+ Jumps</t>
  </si>
  <si>
    <t>No Jumps</t>
  </si>
  <si>
    <t>45Y</t>
  </si>
  <si>
    <t>Repricing Errors in Bps</t>
  </si>
  <si>
    <t>Instruments</t>
  </si>
  <si>
    <t>Jump $</t>
  </si>
  <si>
    <t>EURON Market Dataset</t>
  </si>
  <si>
    <t>Instrument</t>
  </si>
  <si>
    <t>Quote Object ID</t>
  </si>
  <si>
    <t>Fixing Date</t>
  </si>
  <si>
    <t>Value Date</t>
  </si>
  <si>
    <t>Maturity Date</t>
  </si>
  <si>
    <t>Quote Value</t>
  </si>
  <si>
    <t>EURECBOISMAR16_Quote</t>
  </si>
  <si>
    <t>EURECBOISAPR16_Quote</t>
  </si>
  <si>
    <t>EURECBOISJUN16_Quote</t>
  </si>
  <si>
    <t>EURECBOISJUL16_Quote</t>
  </si>
  <si>
    <t>EURECBOISSEP16_Quote</t>
  </si>
  <si>
    <t>EURECBOISOCT16_Quote</t>
  </si>
  <si>
    <t>EURECBOISDEC16_Quote</t>
  </si>
  <si>
    <t>EURECBOISJAN17_Quote</t>
  </si>
  <si>
    <t>EURECBOISMAR17_Quote</t>
  </si>
  <si>
    <t>EON</t>
  </si>
  <si>
    <t>EUREONSW_Quote</t>
  </si>
  <si>
    <t>EUREON2W_Quote</t>
  </si>
  <si>
    <t>EUREON3W_Quote</t>
  </si>
  <si>
    <t>EUREON1M_Quote</t>
  </si>
  <si>
    <t>EUREON2M_Quote</t>
  </si>
  <si>
    <t>EUREON3M_Quote</t>
  </si>
  <si>
    <t>EUREON4M_Quote</t>
  </si>
  <si>
    <t>EUREON5M_Quote</t>
  </si>
  <si>
    <t>EUREON6M_Quote</t>
  </si>
  <si>
    <t>EUREON7M_Quote</t>
  </si>
  <si>
    <t>EUREON8M_Quote</t>
  </si>
  <si>
    <t>EUREON9M_Quote</t>
  </si>
  <si>
    <t>EUREON10M_Quote</t>
  </si>
  <si>
    <t>EUREON11M_Quote</t>
  </si>
  <si>
    <t>EUREON1Y_Quote</t>
  </si>
  <si>
    <t>EUREON15M_Quote</t>
  </si>
  <si>
    <t>EUREON18M_Quote</t>
  </si>
  <si>
    <t>EUREON21M_Quote</t>
  </si>
  <si>
    <t>EUREON2Y_Quote</t>
  </si>
  <si>
    <t>EUREON3Y_Quote</t>
  </si>
  <si>
    <t>EUREON4Y_Quote</t>
  </si>
  <si>
    <t>EUREON5Y_Quote</t>
  </si>
  <si>
    <t>EUREON6Y_Quote</t>
  </si>
  <si>
    <t>EUREON7Y_Quote</t>
  </si>
  <si>
    <t>EUREON8Y_Quote</t>
  </si>
  <si>
    <t>EUREON9Y_Quote</t>
  </si>
  <si>
    <t>EUREON10Y_Quote</t>
  </si>
  <si>
    <t>EUREON11Y_Quote</t>
  </si>
  <si>
    <t>EUREON12Y_Quote</t>
  </si>
  <si>
    <t>EUREON15Y_Quote</t>
  </si>
  <si>
    <t>EUREON20Y_Quote</t>
  </si>
  <si>
    <t>EUREON25Y_Quote</t>
  </si>
  <si>
    <t>EUREON30Y_Quote</t>
  </si>
  <si>
    <t>EUREON40Y_Quote</t>
  </si>
  <si>
    <t>EUREON50Y_Quote</t>
  </si>
  <si>
    <t>EUREON60Y_Quote</t>
  </si>
  <si>
    <t>Included</t>
  </si>
  <si>
    <t>USDON Market Dataset</t>
  </si>
  <si>
    <t>USDOISSW_Quote</t>
  </si>
  <si>
    <t>USDOIS2W_Quote</t>
  </si>
  <si>
    <t>USDOIS3W_Quote</t>
  </si>
  <si>
    <t>USDOIS1M_Quote</t>
  </si>
  <si>
    <t>USDOIS2M_Quote</t>
  </si>
  <si>
    <t>USDOIS3M_Quote</t>
  </si>
  <si>
    <t>USDOIS4M_Quote</t>
  </si>
  <si>
    <t>USDOIS5M_Quote</t>
  </si>
  <si>
    <t>USDOIS6M_Quote</t>
  </si>
  <si>
    <t>USDOIS7M_Quote</t>
  </si>
  <si>
    <t>USDOIS8M_Quote</t>
  </si>
  <si>
    <t>USDOIS9M_Quote</t>
  </si>
  <si>
    <t>USDOIS10M_Quote</t>
  </si>
  <si>
    <t>USDOIS11M_Quote</t>
  </si>
  <si>
    <t>USDOIS1Y_Quote</t>
  </si>
  <si>
    <t>USDOIS15M_Quote</t>
  </si>
  <si>
    <t>USDOIS18M_Quote</t>
  </si>
  <si>
    <t>USDOIS21M_Quote</t>
  </si>
  <si>
    <t>USDOIS2Y_Quote</t>
  </si>
  <si>
    <t>USDOIS3Y_Quote</t>
  </si>
  <si>
    <t>USDOIS4Y_Quote</t>
  </si>
  <si>
    <t>USDOIS5Y_Quote</t>
  </si>
  <si>
    <t>USDOIS6Y_Quote</t>
  </si>
  <si>
    <t>USDOIS7Y_Quote</t>
  </si>
  <si>
    <t>USDOIS8Y_Quote</t>
  </si>
  <si>
    <t>USDOIS9Y_Quote</t>
  </si>
  <si>
    <t>USDOIS10Y_Quote</t>
  </si>
  <si>
    <t>USDOIS12Y_Quote</t>
  </si>
  <si>
    <t>USDOIS15Y_Quote</t>
  </si>
  <si>
    <t>USDOIS20Y_Quote</t>
  </si>
  <si>
    <t>USDOIS25Y_Quote</t>
  </si>
  <si>
    <t>USDOIS30Y_Quote</t>
  </si>
  <si>
    <t>USDOIS40Y_Quote</t>
  </si>
  <si>
    <t>USDOIS45Y_Quote</t>
  </si>
  <si>
    <t>USDOIS50Y_Quote</t>
  </si>
  <si>
    <t>12M</t>
  </si>
  <si>
    <t>STUBLINEAR</t>
  </si>
  <si>
    <t>STUBMONOTONE</t>
  </si>
  <si>
    <t>Repricing Errors in Basis Points (Bps)</t>
  </si>
  <si>
    <t>Linear + Stub</t>
  </si>
  <si>
    <t>MonotoneCubic + Stub</t>
  </si>
  <si>
    <t>RMSE</t>
  </si>
  <si>
    <t>ME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</si>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</sst>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&quot;£&quot;#,##0;[Red]\-&quot;£&quot;#,##0"/>
    <numFmt numFmtId="165" formatCode="General_)"/>
    <numFmt numFmtId="166" formatCode="#,##0.0;#,##0.0"/>
    <numFmt numFmtId="167" formatCode="_([$€-2]* #,##0.00_);_([$€-2]* \(#,##0.00\);_([$€-2]* &quot;-&quot;??_)"/>
    <numFmt numFmtId="168" formatCode="0.0000%"/>
    <numFmt numFmtId="169" formatCode="ddd\,\ dd\-mmm\-yyyy"/>
    <numFmt numFmtId="170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9"/>
      <name val="Courier New"/>
      <family val="3"/>
    </font>
    <font>
      <sz val="9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</fonts>
  <fills count="7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9">
    <xf numFmtId="0" fontId="0" fillId="0" borderId="0"/>
    <xf numFmtId="0" fontId="2" fillId="0" borderId="0"/>
    <xf numFmtId="9" fontId="2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5" fontId="5" fillId="0" borderId="0"/>
    <xf numFmtId="166" fontId="6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" fillId="0" borderId="0"/>
    <xf numFmtId="0" fontId="3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8">
    <xf numFmtId="0" fontId="0" fillId="0" borderId="0" xfId="0"/>
    <xf numFmtId="0" fontId="7" fillId="3" borderId="7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7" fillId="3" borderId="7" xfId="1" quotePrefix="1" applyFont="1" applyFill="1" applyBorder="1" applyAlignment="1">
      <alignment horizontal="center" vertical="center"/>
    </xf>
    <xf numFmtId="0" fontId="8" fillId="3" borderId="15" xfId="1" applyFont="1" applyFill="1" applyBorder="1" applyAlignment="1">
      <alignment horizontal="center" vertical="center"/>
    </xf>
    <xf numFmtId="2" fontId="9" fillId="0" borderId="7" xfId="1" applyNumberFormat="1" applyFont="1" applyFill="1" applyBorder="1" applyAlignment="1">
      <alignment horizontal="center"/>
    </xf>
    <xf numFmtId="2" fontId="9" fillId="0" borderId="12" xfId="1" applyNumberFormat="1" applyFont="1" applyFill="1" applyBorder="1" applyAlignment="1">
      <alignment horizontal="center"/>
    </xf>
    <xf numFmtId="0" fontId="8" fillId="3" borderId="0" xfId="1" applyFont="1" applyFill="1" applyBorder="1" applyAlignment="1">
      <alignment horizontal="center" vertical="center"/>
    </xf>
    <xf numFmtId="2" fontId="9" fillId="0" borderId="6" xfId="1" applyNumberFormat="1" applyFont="1" applyFill="1" applyBorder="1" applyAlignment="1">
      <alignment horizontal="center"/>
    </xf>
    <xf numFmtId="2" fontId="9" fillId="0" borderId="1" xfId="1" applyNumberFormat="1" applyFont="1" applyFill="1" applyBorder="1" applyAlignment="1">
      <alignment horizontal="center"/>
    </xf>
    <xf numFmtId="0" fontId="8" fillId="3" borderId="14" xfId="1" applyFont="1" applyFill="1" applyBorder="1" applyAlignment="1">
      <alignment horizontal="center" vertical="center"/>
    </xf>
    <xf numFmtId="2" fontId="9" fillId="0" borderId="5" xfId="1" applyNumberFormat="1" applyFont="1" applyFill="1" applyBorder="1" applyAlignment="1">
      <alignment horizontal="center"/>
    </xf>
    <xf numFmtId="2" fontId="9" fillId="0" borderId="13" xfId="1" applyNumberFormat="1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8" fillId="0" borderId="6" xfId="1" applyFont="1" applyFill="1" applyBorder="1"/>
    <xf numFmtId="0" fontId="8" fillId="0" borderId="5" xfId="1" applyFont="1" applyFill="1" applyBorder="1"/>
    <xf numFmtId="168" fontId="8" fillId="0" borderId="6" xfId="1" applyNumberFormat="1" applyFont="1" applyFill="1" applyBorder="1"/>
    <xf numFmtId="168" fontId="8" fillId="0" borderId="5" xfId="1" applyNumberFormat="1" applyFont="1" applyFill="1" applyBorder="1"/>
    <xf numFmtId="169" fontId="8" fillId="0" borderId="7" xfId="1" applyNumberFormat="1" applyFont="1" applyFill="1" applyBorder="1"/>
    <xf numFmtId="168" fontId="8" fillId="0" borderId="7" xfId="1" applyNumberFormat="1" applyFont="1" applyFill="1" applyBorder="1"/>
    <xf numFmtId="169" fontId="8" fillId="0" borderId="6" xfId="1" applyNumberFormat="1" applyFont="1" applyFill="1" applyBorder="1"/>
    <xf numFmtId="169" fontId="8" fillId="0" borderId="5" xfId="1" applyNumberFormat="1" applyFont="1" applyFill="1" applyBorder="1"/>
    <xf numFmtId="0" fontId="7" fillId="3" borderId="7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horizontal="center" vertical="center"/>
    </xf>
    <xf numFmtId="168" fontId="9" fillId="0" borderId="7" xfId="1" applyNumberFormat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/>
    </xf>
    <xf numFmtId="168" fontId="9" fillId="0" borderId="5" xfId="1" applyNumberFormat="1" applyFont="1" applyFill="1" applyBorder="1" applyAlignment="1">
      <alignment horizontal="center" vertical="center"/>
    </xf>
    <xf numFmtId="0" fontId="8" fillId="3" borderId="10" xfId="1" applyFont="1" applyFill="1" applyBorder="1" applyAlignment="1">
      <alignment horizontal="right" vertical="center"/>
    </xf>
    <xf numFmtId="0" fontId="8" fillId="3" borderId="3" xfId="1" applyFont="1" applyFill="1" applyBorder="1" applyAlignment="1">
      <alignment horizontal="right" vertical="center"/>
    </xf>
    <xf numFmtId="2" fontId="10" fillId="0" borderId="8" xfId="1" applyNumberFormat="1" applyFont="1" applyFill="1" applyBorder="1" applyAlignment="1">
      <alignment horizontal="right" vertical="center"/>
    </xf>
    <xf numFmtId="2" fontId="10" fillId="0" borderId="3" xfId="1" applyNumberFormat="1" applyFont="1" applyFill="1" applyBorder="1" applyAlignment="1">
      <alignment horizontal="right" vertical="center"/>
    </xf>
    <xf numFmtId="0" fontId="8" fillId="3" borderId="2" xfId="1" applyFont="1" applyFill="1" applyBorder="1" applyAlignment="1">
      <alignment horizontal="right" vertical="center"/>
    </xf>
    <xf numFmtId="0" fontId="8" fillId="3" borderId="6" xfId="1" applyFont="1" applyFill="1" applyBorder="1" applyAlignment="1">
      <alignment horizontal="right" vertical="center"/>
    </xf>
    <xf numFmtId="2" fontId="9" fillId="0" borderId="0" xfId="1" applyNumberFormat="1" applyFont="1" applyFill="1" applyBorder="1" applyAlignment="1">
      <alignment horizontal="right" vertical="center"/>
    </xf>
    <xf numFmtId="2" fontId="9" fillId="0" borderId="6" xfId="1" applyNumberFormat="1" applyFont="1" applyFill="1" applyBorder="1" applyAlignment="1">
      <alignment horizontal="right" vertical="center"/>
    </xf>
    <xf numFmtId="0" fontId="8" fillId="3" borderId="9" xfId="1" applyFont="1" applyFill="1" applyBorder="1" applyAlignment="1">
      <alignment horizontal="right" vertical="center"/>
    </xf>
    <xf numFmtId="0" fontId="8" fillId="3" borderId="5" xfId="1" applyFont="1" applyFill="1" applyBorder="1" applyAlignment="1">
      <alignment horizontal="right" vertical="center"/>
    </xf>
    <xf numFmtId="2" fontId="9" fillId="0" borderId="14" xfId="1" applyNumberFormat="1" applyFont="1" applyFill="1" applyBorder="1" applyAlignment="1">
      <alignment horizontal="right" vertical="center"/>
    </xf>
    <xf numFmtId="2" fontId="9" fillId="0" borderId="5" xfId="1" applyNumberFormat="1" applyFont="1" applyFill="1" applyBorder="1" applyAlignment="1">
      <alignment horizontal="right" vertical="center"/>
    </xf>
    <xf numFmtId="2" fontId="9" fillId="0" borderId="3" xfId="1" applyNumberFormat="1" applyFont="1" applyFill="1" applyBorder="1" applyAlignment="1">
      <alignment horizontal="right" vertical="center"/>
    </xf>
    <xf numFmtId="0" fontId="8" fillId="3" borderId="11" xfId="1" applyFont="1" applyFill="1" applyBorder="1" applyAlignment="1">
      <alignment horizontal="right" vertical="center"/>
    </xf>
    <xf numFmtId="0" fontId="8" fillId="3" borderId="7" xfId="1" applyFont="1" applyFill="1" applyBorder="1" applyAlignment="1">
      <alignment horizontal="right" vertical="center"/>
    </xf>
    <xf numFmtId="2" fontId="10" fillId="0" borderId="7" xfId="1" applyNumberFormat="1" applyFont="1" applyFill="1" applyBorder="1" applyAlignment="1">
      <alignment horizontal="right" vertical="center"/>
    </xf>
    <xf numFmtId="170" fontId="9" fillId="0" borderId="0" xfId="1" applyNumberFormat="1" applyFont="1" applyFill="1" applyBorder="1" applyAlignment="1">
      <alignment horizontal="right" vertical="center"/>
    </xf>
    <xf numFmtId="0" fontId="7" fillId="3" borderId="10" xfId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 vertical="center"/>
    </xf>
    <xf numFmtId="0" fontId="7" fillId="4" borderId="10" xfId="1" applyFont="1" applyFill="1" applyBorder="1" applyAlignment="1">
      <alignment horizontal="right" vertical="center"/>
    </xf>
    <xf numFmtId="0" fontId="7" fillId="4" borderId="4" xfId="1" applyFont="1" applyFill="1" applyBorder="1" applyAlignment="1">
      <alignment horizontal="right" vertical="center"/>
    </xf>
    <xf numFmtId="0" fontId="7" fillId="4" borderId="10" xfId="1" applyFont="1" applyFill="1" applyBorder="1" applyAlignment="1">
      <alignment horizontal="center" vertical="center"/>
    </xf>
    <xf numFmtId="0" fontId="7" fillId="4" borderId="8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12" fillId="5" borderId="10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center" vertical="center"/>
    </xf>
    <xf numFmtId="0" fontId="8" fillId="4" borderId="10" xfId="1" applyFont="1" applyFill="1" applyBorder="1" applyAlignment="1">
      <alignment horizontal="center"/>
    </xf>
    <xf numFmtId="0" fontId="8" fillId="4" borderId="8" xfId="1" applyFont="1" applyFill="1" applyBorder="1" applyAlignment="1">
      <alignment horizontal="center"/>
    </xf>
    <xf numFmtId="0" fontId="8" fillId="4" borderId="4" xfId="1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 vertical="center"/>
    </xf>
    <xf numFmtId="0" fontId="8" fillId="0" borderId="6" xfId="1" applyFont="1" applyFill="1" applyBorder="1"/>
    <xf numFmtId="0" fontId="8" fillId="0" borderId="5" xfId="1" applyFont="1" applyFill="1" applyBorder="1"/>
    <xf numFmtId="0" fontId="8" fillId="0" borderId="7" xfId="1" applyFont="1" applyFill="1" applyBorder="1"/>
    <xf numFmtId="0" fontId="7" fillId="6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168" fontId="8" fillId="0" borderId="6" xfId="1" applyNumberFormat="1" applyFont="1" applyFill="1" applyBorder="1"/>
    <xf numFmtId="168" fontId="8" fillId="0" borderId="5" xfId="1" applyNumberFormat="1" applyFont="1" applyFill="1" applyBorder="1"/>
  </cellXfs>
  <cellStyles count="29">
    <cellStyle name="Comma 2" xfId="16"/>
    <cellStyle name="Comma 2 2" xfId="28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3 2" xfId="27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F75"/>
  <sheetViews>
    <sheetView showGridLines="0" tabSelected="1" topLeftCell="I3" zoomScale="115" zoomScaleNormal="115" workbookViewId="0">
      <selection activeCell="AF13" sqref="AF13"/>
    </sheetView>
  </sheetViews>
  <sheetFormatPr defaultRowHeight="15" x14ac:dyDescent="0.25"/>
  <cols>
    <col min="1" max="1" width="9.7109375" customWidth="1"/>
    <col min="2" max="3" width="5.28515625" customWidth="1"/>
    <col min="4" max="4" width="14.7109375" customWidth="1"/>
    <col min="5" max="5" width="19.42578125" customWidth="1"/>
    <col min="6" max="6" width="14.7109375" customWidth="1"/>
    <col min="7" max="9" width="14.5703125" customWidth="1"/>
    <col min="10" max="10" width="7.42578125" customWidth="1"/>
    <col min="11" max="12" width="13.140625" bestFit="1" customWidth="1"/>
    <col min="16" max="16" width="11" bestFit="1" customWidth="1"/>
    <col min="18" max="18" width="21.42578125" bestFit="1" customWidth="1"/>
    <col min="19" max="21" width="17.28515625" bestFit="1" customWidth="1"/>
    <col min="22" max="22" width="12" bestFit="1" customWidth="1"/>
    <col min="23" max="23" width="9" bestFit="1" customWidth="1"/>
    <col min="25" max="25" width="11" bestFit="1" customWidth="1"/>
    <col min="26" max="26" width="6" bestFit="1" customWidth="1"/>
    <col min="27" max="27" width="16.140625" bestFit="1" customWidth="1"/>
    <col min="28" max="30" width="17.28515625" bestFit="1" customWidth="1"/>
    <col min="31" max="31" width="12" bestFit="1" customWidth="1"/>
  </cols>
  <sheetData>
    <row r="1" spans="2:32" x14ac:dyDescent="0.25">
      <c r="L1" t="s">
        <v>59</v>
      </c>
    </row>
    <row r="2" spans="2:32" ht="12.75" customHeight="1" x14ac:dyDescent="0.25">
      <c r="B2" s="51" t="s">
        <v>153</v>
      </c>
      <c r="C2" s="52"/>
      <c r="D2" s="52"/>
      <c r="E2" s="52"/>
      <c r="F2" s="53"/>
      <c r="K2" s="57" t="s">
        <v>57</v>
      </c>
      <c r="L2" s="58"/>
      <c r="M2" s="58"/>
      <c r="N2" s="59"/>
      <c r="P2" s="54" t="s">
        <v>60</v>
      </c>
      <c r="Q2" s="55"/>
      <c r="R2" s="55"/>
      <c r="S2" s="55"/>
      <c r="T2" s="55"/>
      <c r="U2" s="55"/>
      <c r="V2" s="55"/>
      <c r="W2" s="56"/>
      <c r="Y2" s="54" t="s">
        <v>114</v>
      </c>
      <c r="Z2" s="55"/>
      <c r="AA2" s="55"/>
      <c r="AB2" s="55"/>
      <c r="AC2" s="55"/>
      <c r="AD2" s="55"/>
      <c r="AE2" s="55"/>
      <c r="AF2" s="56"/>
    </row>
    <row r="3" spans="2:32" ht="12.75" customHeight="1" x14ac:dyDescent="0.25">
      <c r="B3" s="47" t="s">
        <v>0</v>
      </c>
      <c r="C3" s="48"/>
      <c r="D3" s="25" t="s">
        <v>50</v>
      </c>
      <c r="E3" s="25" t="s">
        <v>51</v>
      </c>
      <c r="F3" s="25" t="s">
        <v>52</v>
      </c>
      <c r="K3" s="60" t="s">
        <v>58</v>
      </c>
      <c r="L3" s="60" t="s">
        <v>53</v>
      </c>
      <c r="M3" s="5" t="s">
        <v>54</v>
      </c>
      <c r="N3" s="1" t="s">
        <v>55</v>
      </c>
      <c r="P3" s="15" t="s">
        <v>61</v>
      </c>
      <c r="Q3" s="15" t="s">
        <v>53</v>
      </c>
      <c r="R3" s="16" t="s">
        <v>62</v>
      </c>
      <c r="S3" s="15" t="s">
        <v>63</v>
      </c>
      <c r="T3" s="15" t="s">
        <v>64</v>
      </c>
      <c r="U3" s="16" t="s">
        <v>65</v>
      </c>
      <c r="V3" s="15" t="s">
        <v>66</v>
      </c>
      <c r="W3" s="15" t="s">
        <v>113</v>
      </c>
      <c r="Y3" s="64" t="s">
        <v>61</v>
      </c>
      <c r="Z3" s="64" t="s">
        <v>53</v>
      </c>
      <c r="AA3" s="65" t="s">
        <v>62</v>
      </c>
      <c r="AB3" s="64" t="s">
        <v>63</v>
      </c>
      <c r="AC3" s="64" t="s">
        <v>64</v>
      </c>
      <c r="AD3" s="65" t="s">
        <v>65</v>
      </c>
      <c r="AE3" s="64" t="s">
        <v>66</v>
      </c>
      <c r="AF3" s="64" t="s">
        <v>158</v>
      </c>
    </row>
    <row r="4" spans="2:32" ht="12.75" customHeight="1" x14ac:dyDescent="0.25">
      <c r="B4" s="43" t="s">
        <v>13</v>
      </c>
      <c r="C4" s="44" t="s">
        <v>18</v>
      </c>
      <c r="D4" s="45">
        <v>-5.0954162764127453E-9</v>
      </c>
      <c r="E4" s="45">
        <v>-2.6181945621922602</v>
      </c>
      <c r="F4" s="45">
        <v>-1.21976571386753E-3</v>
      </c>
      <c r="K4" s="2" t="s">
        <v>13</v>
      </c>
      <c r="L4" s="6" t="s">
        <v>14</v>
      </c>
      <c r="M4" s="7">
        <v>0.19944882381797874</v>
      </c>
      <c r="N4" s="8">
        <v>-0.20558219633369165</v>
      </c>
      <c r="P4" s="17" t="s">
        <v>76</v>
      </c>
      <c r="Q4" s="17" t="s">
        <v>14</v>
      </c>
      <c r="R4" s="17" t="s">
        <v>77</v>
      </c>
      <c r="S4" s="23">
        <v>42398</v>
      </c>
      <c r="T4" s="23">
        <v>42402</v>
      </c>
      <c r="U4" s="23">
        <v>42409</v>
      </c>
      <c r="V4" s="19">
        <v>-2.3900000000000002E-3</v>
      </c>
      <c r="W4" s="22" t="b">
        <v>1</v>
      </c>
      <c r="Y4" s="63" t="s">
        <v>13</v>
      </c>
      <c r="Z4" s="63" t="s">
        <v>14</v>
      </c>
      <c r="AA4" s="63" t="s">
        <v>115</v>
      </c>
      <c r="AB4" s="21">
        <v>42662</v>
      </c>
      <c r="AC4" s="21">
        <v>42664</v>
      </c>
      <c r="AD4" s="21">
        <v>42671</v>
      </c>
      <c r="AE4" s="22">
        <v>4.0699999999999998E-3</v>
      </c>
      <c r="AF4" s="22" t="b">
        <v>1</v>
      </c>
    </row>
    <row r="5" spans="2:32" ht="12.75" customHeight="1" x14ac:dyDescent="0.25">
      <c r="B5" s="34" t="s">
        <v>13</v>
      </c>
      <c r="C5" s="35" t="s">
        <v>19</v>
      </c>
      <c r="D5" s="37">
        <v>-1.0893093121565001</v>
      </c>
      <c r="E5" s="37">
        <v>-1.85427079010907</v>
      </c>
      <c r="F5" s="37">
        <v>-5.1963939488963502E-2</v>
      </c>
      <c r="K5" s="3" t="s">
        <v>13</v>
      </c>
      <c r="L5" s="9" t="s">
        <v>15</v>
      </c>
      <c r="M5" s="10">
        <v>0.20104346789191069</v>
      </c>
      <c r="N5" s="11">
        <v>-0.20401928847343409</v>
      </c>
      <c r="P5" s="17" t="s">
        <v>76</v>
      </c>
      <c r="Q5" s="17" t="s">
        <v>15</v>
      </c>
      <c r="R5" s="17" t="s">
        <v>78</v>
      </c>
      <c r="S5" s="23">
        <v>42398</v>
      </c>
      <c r="T5" s="23">
        <v>42402</v>
      </c>
      <c r="U5" s="23">
        <v>42416</v>
      </c>
      <c r="V5" s="19">
        <v>-2.3900000000000002E-3</v>
      </c>
      <c r="W5" s="19" t="b">
        <v>1</v>
      </c>
      <c r="Y5" s="61" t="s">
        <v>13</v>
      </c>
      <c r="Z5" s="61" t="s">
        <v>15</v>
      </c>
      <c r="AA5" s="61" t="s">
        <v>116</v>
      </c>
      <c r="AB5" s="23">
        <v>42662</v>
      </c>
      <c r="AC5" s="23">
        <v>42664</v>
      </c>
      <c r="AD5" s="23">
        <v>42678</v>
      </c>
      <c r="AE5" s="66">
        <v>4.0299999999999997E-3</v>
      </c>
      <c r="AF5" s="66" t="b">
        <v>1</v>
      </c>
    </row>
    <row r="6" spans="2:32" ht="12.75" customHeight="1" x14ac:dyDescent="0.25">
      <c r="B6" s="34" t="s">
        <v>13</v>
      </c>
      <c r="C6" s="35" t="s">
        <v>20</v>
      </c>
      <c r="D6" s="37">
        <v>-0.72005881130669702</v>
      </c>
      <c r="E6" s="37">
        <v>-1.2888595795776301</v>
      </c>
      <c r="F6" s="37">
        <v>5.127786635349043E-2</v>
      </c>
      <c r="K6" s="3" t="s">
        <v>13</v>
      </c>
      <c r="L6" s="9" t="s">
        <v>16</v>
      </c>
      <c r="M6" s="10">
        <v>0.20263819574643793</v>
      </c>
      <c r="N6" s="11">
        <v>-0.20245629945903065</v>
      </c>
      <c r="P6" s="17" t="s">
        <v>76</v>
      </c>
      <c r="Q6" s="17" t="s">
        <v>16</v>
      </c>
      <c r="R6" s="17" t="s">
        <v>79</v>
      </c>
      <c r="S6" s="23">
        <v>42398</v>
      </c>
      <c r="T6" s="23">
        <v>42402</v>
      </c>
      <c r="U6" s="23">
        <v>42423</v>
      </c>
      <c r="V6" s="19">
        <v>-2.3900000000000002E-3</v>
      </c>
      <c r="W6" s="19" t="b">
        <v>1</v>
      </c>
      <c r="Y6" s="61" t="s">
        <v>13</v>
      </c>
      <c r="Z6" s="61" t="s">
        <v>16</v>
      </c>
      <c r="AA6" s="61" t="s">
        <v>117</v>
      </c>
      <c r="AB6" s="23">
        <v>42662</v>
      </c>
      <c r="AC6" s="23">
        <v>42664</v>
      </c>
      <c r="AD6" s="23">
        <v>42688</v>
      </c>
      <c r="AE6" s="66">
        <v>4.0800000000000003E-3</v>
      </c>
      <c r="AF6" s="66" t="b">
        <v>1</v>
      </c>
    </row>
    <row r="7" spans="2:32" ht="12.75" customHeight="1" x14ac:dyDescent="0.25">
      <c r="B7" s="34" t="s">
        <v>13</v>
      </c>
      <c r="C7" s="35" t="s">
        <v>21</v>
      </c>
      <c r="D7" s="37">
        <v>-0.63738969184098704</v>
      </c>
      <c r="E7" s="37">
        <v>-1.08706143835405</v>
      </c>
      <c r="F7" s="37">
        <v>-2.7600939195657901E-2</v>
      </c>
      <c r="K7" s="3" t="s">
        <v>13</v>
      </c>
      <c r="L7" s="9" t="s">
        <v>17</v>
      </c>
      <c r="M7" s="10">
        <v>5.7383178070358198E-9</v>
      </c>
      <c r="N7" s="11">
        <v>-9.6493819878862297E-9</v>
      </c>
      <c r="P7" s="17" t="s">
        <v>76</v>
      </c>
      <c r="Q7" s="17" t="s">
        <v>17</v>
      </c>
      <c r="R7" s="17" t="s">
        <v>80</v>
      </c>
      <c r="S7" s="23">
        <v>42398</v>
      </c>
      <c r="T7" s="23">
        <v>42402</v>
      </c>
      <c r="U7" s="23">
        <v>42431</v>
      </c>
      <c r="V7" s="19">
        <v>-2.3799999999999997E-3</v>
      </c>
      <c r="W7" s="19" t="b">
        <v>1</v>
      </c>
      <c r="Y7" s="61" t="s">
        <v>13</v>
      </c>
      <c r="Z7" s="61" t="s">
        <v>17</v>
      </c>
      <c r="AA7" s="61" t="s">
        <v>118</v>
      </c>
      <c r="AB7" s="23">
        <v>42662</v>
      </c>
      <c r="AC7" s="23">
        <v>42664</v>
      </c>
      <c r="AD7" s="23">
        <v>42695</v>
      </c>
      <c r="AE7" s="66">
        <v>4.1000000000000003E-3</v>
      </c>
      <c r="AF7" s="66" t="b">
        <v>1</v>
      </c>
    </row>
    <row r="8" spans="2:32" ht="12.75" customHeight="1" x14ac:dyDescent="0.25">
      <c r="B8" s="34" t="s">
        <v>13</v>
      </c>
      <c r="C8" s="35" t="s">
        <v>22</v>
      </c>
      <c r="D8" s="37">
        <v>-0.83342808774667998</v>
      </c>
      <c r="E8" s="37">
        <v>-1.21131993194127</v>
      </c>
      <c r="F8" s="37">
        <v>-0.32097828831465702</v>
      </c>
      <c r="K8" s="3" t="s">
        <v>13</v>
      </c>
      <c r="L8" s="9" t="s">
        <v>18</v>
      </c>
      <c r="M8" s="10">
        <v>2.5760643618255585E-12</v>
      </c>
      <c r="N8" s="11">
        <v>2.5934115965853266E-12</v>
      </c>
      <c r="P8" s="17" t="s">
        <v>76</v>
      </c>
      <c r="Q8" s="17" t="s">
        <v>18</v>
      </c>
      <c r="R8" s="17" t="s">
        <v>81</v>
      </c>
      <c r="S8" s="23">
        <v>42398</v>
      </c>
      <c r="T8" s="23">
        <v>42402</v>
      </c>
      <c r="U8" s="23">
        <v>42464</v>
      </c>
      <c r="V8" s="19">
        <v>-2.7300000000000002E-3</v>
      </c>
      <c r="W8" s="19" t="b">
        <v>1</v>
      </c>
      <c r="Y8" s="61" t="s">
        <v>13</v>
      </c>
      <c r="Z8" s="61" t="s">
        <v>18</v>
      </c>
      <c r="AA8" s="61" t="s">
        <v>119</v>
      </c>
      <c r="AB8" s="23">
        <v>42662</v>
      </c>
      <c r="AC8" s="23">
        <v>42664</v>
      </c>
      <c r="AD8" s="23">
        <v>42725</v>
      </c>
      <c r="AE8" s="66">
        <v>4.2900000000000004E-3</v>
      </c>
      <c r="AF8" s="66" t="b">
        <v>1</v>
      </c>
    </row>
    <row r="9" spans="2:32" ht="12.75" customHeight="1" x14ac:dyDescent="0.25">
      <c r="B9" s="34" t="s">
        <v>13</v>
      </c>
      <c r="C9" s="35" t="s">
        <v>23</v>
      </c>
      <c r="D9" s="37">
        <v>-0.45318939140948999</v>
      </c>
      <c r="E9" s="37">
        <v>-0.77596276272282005</v>
      </c>
      <c r="F9" s="37">
        <v>-1.54843921274525E-2</v>
      </c>
      <c r="K9" s="3" t="s">
        <v>13</v>
      </c>
      <c r="L9" s="9" t="s">
        <v>19</v>
      </c>
      <c r="M9" s="10">
        <v>-2.3765711620882257E-12</v>
      </c>
      <c r="N9" s="11">
        <v>-1.1076209394111913E-11</v>
      </c>
      <c r="P9" s="17" t="s">
        <v>3</v>
      </c>
      <c r="Q9" s="17" t="s">
        <v>4</v>
      </c>
      <c r="R9" s="17" t="s">
        <v>67</v>
      </c>
      <c r="S9" s="23">
        <v>42443</v>
      </c>
      <c r="T9" s="23">
        <v>42445</v>
      </c>
      <c r="U9" s="23">
        <v>42487</v>
      </c>
      <c r="V9" s="19">
        <v>-3.5299999999999997E-3</v>
      </c>
      <c r="W9" s="19" t="b">
        <v>1</v>
      </c>
      <c r="Y9" s="61" t="s">
        <v>13</v>
      </c>
      <c r="Z9" s="61" t="s">
        <v>19</v>
      </c>
      <c r="AA9" s="61" t="s">
        <v>120</v>
      </c>
      <c r="AB9" s="23">
        <v>42662</v>
      </c>
      <c r="AC9" s="23">
        <v>42664</v>
      </c>
      <c r="AD9" s="23">
        <v>42758</v>
      </c>
      <c r="AE9" s="66">
        <v>4.7200000000000002E-3</v>
      </c>
      <c r="AF9" s="66" t="b">
        <v>1</v>
      </c>
    </row>
    <row r="10" spans="2:32" ht="12.75" customHeight="1" x14ac:dyDescent="0.25">
      <c r="B10" s="34" t="s">
        <v>13</v>
      </c>
      <c r="C10" s="35" t="s">
        <v>24</v>
      </c>
      <c r="D10" s="37">
        <v>-0.41835055137676602</v>
      </c>
      <c r="E10" s="37">
        <v>-0.70000847671862998</v>
      </c>
      <c r="F10" s="37">
        <v>-3.6401193205881997E-2</v>
      </c>
      <c r="K10" s="3" t="s">
        <v>13</v>
      </c>
      <c r="L10" s="9" t="s">
        <v>20</v>
      </c>
      <c r="M10" s="10">
        <v>-1.2784912017949068E-11</v>
      </c>
      <c r="N10" s="11">
        <v>-1.2802259252708836E-11</v>
      </c>
      <c r="P10" s="17" t="s">
        <v>76</v>
      </c>
      <c r="Q10" s="17" t="s">
        <v>19</v>
      </c>
      <c r="R10" s="17" t="s">
        <v>82</v>
      </c>
      <c r="S10" s="23">
        <v>42398</v>
      </c>
      <c r="T10" s="23">
        <v>42402</v>
      </c>
      <c r="U10" s="23">
        <v>42492</v>
      </c>
      <c r="V10" s="19">
        <v>-2.9800000000000004E-3</v>
      </c>
      <c r="W10" s="19" t="b">
        <v>0</v>
      </c>
      <c r="Y10" s="61" t="s">
        <v>13</v>
      </c>
      <c r="Z10" s="61" t="s">
        <v>20</v>
      </c>
      <c r="AA10" s="61" t="s">
        <v>121</v>
      </c>
      <c r="AB10" s="23">
        <v>42662</v>
      </c>
      <c r="AC10" s="23">
        <v>42664</v>
      </c>
      <c r="AD10" s="23">
        <v>42787</v>
      </c>
      <c r="AE10" s="66">
        <v>4.9500000000000004E-3</v>
      </c>
      <c r="AF10" s="66" t="b">
        <v>1</v>
      </c>
    </row>
    <row r="11" spans="2:32" ht="12.75" customHeight="1" x14ac:dyDescent="0.25">
      <c r="B11" s="34" t="s">
        <v>13</v>
      </c>
      <c r="C11" s="35" t="s">
        <v>25</v>
      </c>
      <c r="D11" s="37">
        <v>-0.32722054399025002</v>
      </c>
      <c r="E11" s="37">
        <v>-0.577945910175794</v>
      </c>
      <c r="F11" s="37">
        <v>1.2781934466089481E-2</v>
      </c>
      <c r="K11" s="3" t="s">
        <v>13</v>
      </c>
      <c r="L11" s="9" t="s">
        <v>21</v>
      </c>
      <c r="M11" s="10">
        <v>-4.4148712463609741E-12</v>
      </c>
      <c r="N11" s="11">
        <v>8.8470897274817162E-13</v>
      </c>
      <c r="P11" s="17" t="s">
        <v>76</v>
      </c>
      <c r="Q11" s="17" t="s">
        <v>20</v>
      </c>
      <c r="R11" s="17" t="s">
        <v>83</v>
      </c>
      <c r="S11" s="23">
        <v>42398</v>
      </c>
      <c r="T11" s="23">
        <v>42402</v>
      </c>
      <c r="U11" s="23">
        <v>42523</v>
      </c>
      <c r="V11" s="19">
        <v>-3.1600000000000005E-3</v>
      </c>
      <c r="W11" s="19" t="b">
        <v>0</v>
      </c>
      <c r="Y11" s="61" t="s">
        <v>13</v>
      </c>
      <c r="Z11" s="61" t="s">
        <v>21</v>
      </c>
      <c r="AA11" s="61" t="s">
        <v>122</v>
      </c>
      <c r="AB11" s="23">
        <v>42662</v>
      </c>
      <c r="AC11" s="23">
        <v>42664</v>
      </c>
      <c r="AD11" s="23">
        <v>42815</v>
      </c>
      <c r="AE11" s="66">
        <v>5.11E-3</v>
      </c>
      <c r="AF11" s="66" t="b">
        <v>1</v>
      </c>
    </row>
    <row r="12" spans="2:32" ht="12.75" customHeight="1" x14ac:dyDescent="0.25">
      <c r="B12" s="34" t="s">
        <v>13</v>
      </c>
      <c r="C12" s="35" t="s">
        <v>26</v>
      </c>
      <c r="D12" s="37">
        <v>-0.31265805033991201</v>
      </c>
      <c r="E12" s="37">
        <v>-0.53855527465965203</v>
      </c>
      <c r="F12" s="37">
        <v>-6.3244020394878997E-3</v>
      </c>
      <c r="K12" s="3" t="s">
        <v>13</v>
      </c>
      <c r="L12" s="9" t="s">
        <v>22</v>
      </c>
      <c r="M12" s="10">
        <v>-5.8286708792820718E-12</v>
      </c>
      <c r="N12" s="11">
        <v>-5.8113236445223038E-12</v>
      </c>
      <c r="P12" s="17" t="s">
        <v>3</v>
      </c>
      <c r="Q12" s="17" t="s">
        <v>5</v>
      </c>
      <c r="R12" s="17" t="s">
        <v>68</v>
      </c>
      <c r="S12" s="23">
        <v>42485</v>
      </c>
      <c r="T12" s="23">
        <v>42487</v>
      </c>
      <c r="U12" s="23">
        <v>42529</v>
      </c>
      <c r="V12" s="19">
        <v>-3.65E-3</v>
      </c>
      <c r="W12" s="19" t="b">
        <v>1</v>
      </c>
      <c r="Y12" s="61" t="s">
        <v>13</v>
      </c>
      <c r="Z12" s="61" t="s">
        <v>22</v>
      </c>
      <c r="AA12" s="61" t="s">
        <v>123</v>
      </c>
      <c r="AB12" s="23">
        <v>42662</v>
      </c>
      <c r="AC12" s="23">
        <v>42664</v>
      </c>
      <c r="AD12" s="23">
        <v>42846</v>
      </c>
      <c r="AE12" s="66">
        <v>5.2700000000000004E-3</v>
      </c>
      <c r="AF12" s="66" t="b">
        <v>1</v>
      </c>
    </row>
    <row r="13" spans="2:32" ht="12.75" customHeight="1" x14ac:dyDescent="0.25">
      <c r="B13" s="34" t="s">
        <v>13</v>
      </c>
      <c r="C13" s="35" t="s">
        <v>27</v>
      </c>
      <c r="D13" s="37">
        <v>-0.267924954064237</v>
      </c>
      <c r="E13" s="37">
        <v>-0.47283853543538301</v>
      </c>
      <c r="F13" s="37">
        <v>9.9532941312280993E-3</v>
      </c>
      <c r="K13" s="3" t="s">
        <v>13</v>
      </c>
      <c r="L13" s="9" t="s">
        <v>23</v>
      </c>
      <c r="M13" s="10">
        <v>-6.7133798520302435E-12</v>
      </c>
      <c r="N13" s="11">
        <v>-6.7220534694101275E-12</v>
      </c>
      <c r="P13" s="17" t="s">
        <v>76</v>
      </c>
      <c r="Q13" s="17" t="s">
        <v>21</v>
      </c>
      <c r="R13" s="17" t="s">
        <v>84</v>
      </c>
      <c r="S13" s="23">
        <v>42398</v>
      </c>
      <c r="T13" s="23">
        <v>42402</v>
      </c>
      <c r="U13" s="23">
        <v>42555</v>
      </c>
      <c r="V13" s="19">
        <v>-3.3499999999999997E-3</v>
      </c>
      <c r="W13" s="19" t="b">
        <v>0</v>
      </c>
      <c r="Y13" s="61" t="s">
        <v>13</v>
      </c>
      <c r="Z13" s="61" t="s">
        <v>23</v>
      </c>
      <c r="AA13" s="61" t="s">
        <v>124</v>
      </c>
      <c r="AB13" s="23">
        <v>42662</v>
      </c>
      <c r="AC13" s="23">
        <v>42664</v>
      </c>
      <c r="AD13" s="23">
        <v>42877</v>
      </c>
      <c r="AE13" s="66">
        <v>5.3899999999999998E-3</v>
      </c>
      <c r="AF13" s="66" t="b">
        <v>1</v>
      </c>
    </row>
    <row r="14" spans="2:32" ht="12.75" customHeight="1" x14ac:dyDescent="0.25">
      <c r="B14" s="34" t="s">
        <v>13</v>
      </c>
      <c r="C14" s="35" t="s">
        <v>150</v>
      </c>
      <c r="D14" s="37">
        <v>-0.60273336821785295</v>
      </c>
      <c r="E14" s="37">
        <v>-0.79021650414213196</v>
      </c>
      <c r="F14" s="37">
        <v>-0.34849211671812003</v>
      </c>
      <c r="K14" s="3" t="s">
        <v>13</v>
      </c>
      <c r="L14" s="9" t="s">
        <v>24</v>
      </c>
      <c r="M14" s="10">
        <v>-4.7791631763161035E-12</v>
      </c>
      <c r="N14" s="11">
        <v>-4.7704895589362195E-12</v>
      </c>
      <c r="P14" s="17" t="s">
        <v>3</v>
      </c>
      <c r="Q14" s="17" t="s">
        <v>6</v>
      </c>
      <c r="R14" s="17" t="s">
        <v>69</v>
      </c>
      <c r="S14" s="23">
        <v>42527</v>
      </c>
      <c r="T14" s="23">
        <v>42529</v>
      </c>
      <c r="U14" s="23">
        <v>42578</v>
      </c>
      <c r="V14" s="19">
        <v>-4.2100000000000002E-3</v>
      </c>
      <c r="W14" s="19" t="b">
        <v>1</v>
      </c>
      <c r="Y14" s="61" t="s">
        <v>13</v>
      </c>
      <c r="Z14" s="61" t="s">
        <v>24</v>
      </c>
      <c r="AA14" s="61" t="s">
        <v>125</v>
      </c>
      <c r="AB14" s="23">
        <v>42662</v>
      </c>
      <c r="AC14" s="23">
        <v>42664</v>
      </c>
      <c r="AD14" s="23">
        <v>42907</v>
      </c>
      <c r="AE14" s="66">
        <v>5.4900000000000001E-3</v>
      </c>
      <c r="AF14" s="66" t="b">
        <v>1</v>
      </c>
    </row>
    <row r="15" spans="2:32" ht="12.75" customHeight="1" x14ac:dyDescent="0.25">
      <c r="B15" s="38" t="s">
        <v>13</v>
      </c>
      <c r="C15" s="39" t="s">
        <v>29</v>
      </c>
      <c r="D15" s="37">
        <v>-0.24182208117434939</v>
      </c>
      <c r="E15" s="37">
        <v>-0.39259691197477548</v>
      </c>
      <c r="F15" s="37">
        <v>-3.7064622122398583E-2</v>
      </c>
      <c r="K15" s="3" t="s">
        <v>13</v>
      </c>
      <c r="L15" s="9" t="s">
        <v>25</v>
      </c>
      <c r="M15" s="10">
        <v>-6.106226635438361E-12</v>
      </c>
      <c r="N15" s="11">
        <v>-6.106226635438361E-12</v>
      </c>
      <c r="P15" s="17" t="s">
        <v>76</v>
      </c>
      <c r="Q15" s="17" t="s">
        <v>22</v>
      </c>
      <c r="R15" s="17" t="s">
        <v>85</v>
      </c>
      <c r="S15" s="23">
        <v>42398</v>
      </c>
      <c r="T15" s="23">
        <v>42402</v>
      </c>
      <c r="U15" s="23">
        <v>42584</v>
      </c>
      <c r="V15" s="19">
        <v>-3.4599999999999995E-3</v>
      </c>
      <c r="W15" s="19" t="b">
        <v>0</v>
      </c>
      <c r="Y15" s="61" t="s">
        <v>13</v>
      </c>
      <c r="Z15" s="61" t="s">
        <v>25</v>
      </c>
      <c r="AA15" s="61" t="s">
        <v>126</v>
      </c>
      <c r="AB15" s="23">
        <v>42662</v>
      </c>
      <c r="AC15" s="23">
        <v>42664</v>
      </c>
      <c r="AD15" s="23">
        <v>42937</v>
      </c>
      <c r="AE15" s="66">
        <v>5.5999999999999999E-3</v>
      </c>
      <c r="AF15" s="66" t="b">
        <v>1</v>
      </c>
    </row>
    <row r="16" spans="2:32" ht="12.75" customHeight="1" x14ac:dyDescent="0.25">
      <c r="B16" s="49" t="s">
        <v>156</v>
      </c>
      <c r="C16" s="50"/>
      <c r="D16" s="42">
        <v>0.56897003643232025</v>
      </c>
      <c r="E16" s="42">
        <v>1.2014492834196431</v>
      </c>
      <c r="F16" s="42">
        <v>0.13958504895322815</v>
      </c>
      <c r="K16" s="3" t="s">
        <v>13</v>
      </c>
      <c r="L16" s="9" t="s">
        <v>26</v>
      </c>
      <c r="M16" s="10">
        <v>-7.9190126678341244E-12</v>
      </c>
      <c r="N16" s="11">
        <v>-7.9190126678341244E-12</v>
      </c>
      <c r="P16" s="17" t="s">
        <v>76</v>
      </c>
      <c r="Q16" s="17" t="s">
        <v>23</v>
      </c>
      <c r="R16" s="17" t="s">
        <v>86</v>
      </c>
      <c r="S16" s="23">
        <v>42398</v>
      </c>
      <c r="T16" s="23">
        <v>42402</v>
      </c>
      <c r="U16" s="23">
        <v>42615</v>
      </c>
      <c r="V16" s="19">
        <v>-3.6099999999999999E-3</v>
      </c>
      <c r="W16" s="19" t="b">
        <v>0</v>
      </c>
      <c r="Y16" s="61" t="s">
        <v>13</v>
      </c>
      <c r="Z16" s="61" t="s">
        <v>26</v>
      </c>
      <c r="AA16" s="61" t="s">
        <v>127</v>
      </c>
      <c r="AB16" s="23">
        <v>42662</v>
      </c>
      <c r="AC16" s="23">
        <v>42664</v>
      </c>
      <c r="AD16" s="23">
        <v>42968</v>
      </c>
      <c r="AE16" s="66">
        <v>5.7099999999999998E-3</v>
      </c>
      <c r="AF16" s="66" t="b">
        <v>1</v>
      </c>
    </row>
    <row r="17" spans="2:32" ht="12.75" customHeight="1" x14ac:dyDescent="0.25">
      <c r="B17" s="49" t="s">
        <v>157</v>
      </c>
      <c r="C17" s="50"/>
      <c r="D17" s="42">
        <f>D5</f>
        <v>-1.0893093121565001</v>
      </c>
      <c r="E17" s="42">
        <f>E4</f>
        <v>-2.6181945621922602</v>
      </c>
      <c r="F17" s="42">
        <f>F14</f>
        <v>-0.34849211671812003</v>
      </c>
      <c r="K17" s="3" t="s">
        <v>13</v>
      </c>
      <c r="L17" s="9" t="s">
        <v>27</v>
      </c>
      <c r="M17" s="10">
        <v>-3.8771069688081639E-12</v>
      </c>
      <c r="N17" s="11">
        <v>-3.8857805861880479E-12</v>
      </c>
      <c r="P17" s="17" t="s">
        <v>3</v>
      </c>
      <c r="Q17" s="17" t="s">
        <v>7</v>
      </c>
      <c r="R17" s="17" t="s">
        <v>70</v>
      </c>
      <c r="S17" s="23">
        <v>42576</v>
      </c>
      <c r="T17" s="23">
        <v>42578</v>
      </c>
      <c r="U17" s="23">
        <v>42627</v>
      </c>
      <c r="V17" s="19">
        <v>-4.3200000000000009E-3</v>
      </c>
      <c r="W17" s="19" t="b">
        <v>1</v>
      </c>
      <c r="Y17" s="61" t="s">
        <v>13</v>
      </c>
      <c r="Z17" s="61" t="s">
        <v>27</v>
      </c>
      <c r="AA17" s="61" t="s">
        <v>128</v>
      </c>
      <c r="AB17" s="23">
        <v>42662</v>
      </c>
      <c r="AC17" s="23">
        <v>42664</v>
      </c>
      <c r="AD17" s="23">
        <v>42999</v>
      </c>
      <c r="AE17" s="66">
        <v>5.79E-3</v>
      </c>
      <c r="AF17" s="66" t="b">
        <v>1</v>
      </c>
    </row>
    <row r="18" spans="2:32" ht="12.75" customHeight="1" x14ac:dyDescent="0.25">
      <c r="B18" s="36"/>
      <c r="C18" s="36"/>
      <c r="D18" s="36"/>
      <c r="E18" s="36"/>
      <c r="F18" s="36"/>
      <c r="K18" s="3" t="s">
        <v>13</v>
      </c>
      <c r="L18" s="9" t="s">
        <v>28</v>
      </c>
      <c r="M18" s="10">
        <v>-1.8388068845354155E-12</v>
      </c>
      <c r="N18" s="11">
        <v>-1.8474805019152996E-12</v>
      </c>
      <c r="P18" s="17" t="s">
        <v>76</v>
      </c>
      <c r="Q18" s="17" t="s">
        <v>24</v>
      </c>
      <c r="R18" s="17" t="s">
        <v>87</v>
      </c>
      <c r="S18" s="23">
        <v>42398</v>
      </c>
      <c r="T18" s="23">
        <v>42402</v>
      </c>
      <c r="U18" s="23">
        <v>42646</v>
      </c>
      <c r="V18" s="19">
        <v>-3.7099999999999998E-3</v>
      </c>
      <c r="W18" s="19" t="b">
        <v>0</v>
      </c>
      <c r="Y18" s="61" t="s">
        <v>13</v>
      </c>
      <c r="Z18" s="61" t="s">
        <v>28</v>
      </c>
      <c r="AA18" s="61" t="s">
        <v>129</v>
      </c>
      <c r="AB18" s="23">
        <v>42662</v>
      </c>
      <c r="AC18" s="23">
        <v>42664</v>
      </c>
      <c r="AD18" s="23">
        <v>43031</v>
      </c>
      <c r="AE18" s="66">
        <v>5.8799999999999998E-3</v>
      </c>
      <c r="AF18" s="66" t="b">
        <v>1</v>
      </c>
    </row>
    <row r="19" spans="2:32" ht="12.75" customHeight="1" x14ac:dyDescent="0.25">
      <c r="B19" s="36"/>
      <c r="C19" s="36"/>
      <c r="D19" s="46">
        <f>D4^2</f>
        <v>2.5963267029931925E-17</v>
      </c>
      <c r="E19" s="46">
        <f>E4^2</f>
        <v>6.8549427654931208</v>
      </c>
      <c r="F19" s="46">
        <f>F4^2</f>
        <v>1.4878283967267651E-6</v>
      </c>
      <c r="K19" s="3" t="s">
        <v>13</v>
      </c>
      <c r="L19" s="9" t="s">
        <v>29</v>
      </c>
      <c r="M19" s="10">
        <v>-7.6033797313801443E-10</v>
      </c>
      <c r="N19" s="11">
        <v>-7.7751173555018482E-10</v>
      </c>
      <c r="P19" s="17" t="s">
        <v>3</v>
      </c>
      <c r="Q19" s="17" t="s">
        <v>8</v>
      </c>
      <c r="R19" s="17" t="s">
        <v>71</v>
      </c>
      <c r="S19" s="23">
        <v>42625</v>
      </c>
      <c r="T19" s="23">
        <v>42627</v>
      </c>
      <c r="U19" s="23">
        <v>42669</v>
      </c>
      <c r="V19" s="19">
        <v>-4.4900000000000009E-3</v>
      </c>
      <c r="W19" s="19" t="b">
        <v>1</v>
      </c>
      <c r="Y19" s="61" t="s">
        <v>13</v>
      </c>
      <c r="Z19" s="61" t="s">
        <v>29</v>
      </c>
      <c r="AA19" s="61" t="s">
        <v>130</v>
      </c>
      <c r="AB19" s="23">
        <v>42662</v>
      </c>
      <c r="AC19" s="23">
        <v>42664</v>
      </c>
      <c r="AD19" s="23">
        <v>43122</v>
      </c>
      <c r="AE19" s="66">
        <v>6.1399999999999996E-3</v>
      </c>
      <c r="AF19" s="66" t="b">
        <v>1</v>
      </c>
    </row>
    <row r="20" spans="2:32" ht="12.75" customHeight="1" x14ac:dyDescent="0.25">
      <c r="B20" s="36"/>
      <c r="C20" s="36"/>
      <c r="D20" s="46">
        <f t="shared" ref="D20:F30" si="0">D5^2</f>
        <v>1.1865947775508674</v>
      </c>
      <c r="E20" s="46">
        <f t="shared" si="0"/>
        <v>3.4383201630517148</v>
      </c>
      <c r="F20" s="46">
        <f t="shared" si="0"/>
        <v>2.7002510072126605E-3</v>
      </c>
      <c r="K20" s="3" t="s">
        <v>13</v>
      </c>
      <c r="L20" s="9" t="s">
        <v>30</v>
      </c>
      <c r="M20" s="10">
        <v>-2.3523717695983493E-10</v>
      </c>
      <c r="N20" s="11">
        <v>-2.3819488048637538E-10</v>
      </c>
      <c r="P20" s="17" t="s">
        <v>76</v>
      </c>
      <c r="Q20" s="17" t="s">
        <v>25</v>
      </c>
      <c r="R20" s="17" t="s">
        <v>88</v>
      </c>
      <c r="S20" s="23">
        <v>42398</v>
      </c>
      <c r="T20" s="23">
        <v>42402</v>
      </c>
      <c r="U20" s="23">
        <v>42676</v>
      </c>
      <c r="V20" s="19">
        <v>-3.8E-3</v>
      </c>
      <c r="W20" s="19" t="b">
        <v>0</v>
      </c>
      <c r="Y20" s="61" t="s">
        <v>13</v>
      </c>
      <c r="Z20" s="61" t="s">
        <v>30</v>
      </c>
      <c r="AA20" s="61" t="s">
        <v>131</v>
      </c>
      <c r="AB20" s="23">
        <v>42662</v>
      </c>
      <c r="AC20" s="23">
        <v>42664</v>
      </c>
      <c r="AD20" s="23">
        <v>43213</v>
      </c>
      <c r="AE20" s="66">
        <v>6.3699999999999998E-3</v>
      </c>
      <c r="AF20" s="66" t="b">
        <v>1</v>
      </c>
    </row>
    <row r="21" spans="2:32" ht="12.75" customHeight="1" x14ac:dyDescent="0.25">
      <c r="B21" s="36"/>
      <c r="C21" s="36"/>
      <c r="D21" s="46">
        <f t="shared" si="0"/>
        <v>0.51848469174041356</v>
      </c>
      <c r="E21" s="46">
        <f t="shared" si="0"/>
        <v>1.6611590158690255</v>
      </c>
      <c r="F21" s="46">
        <f t="shared" si="0"/>
        <v>2.6294195777664259E-3</v>
      </c>
      <c r="K21" s="3" t="s">
        <v>13</v>
      </c>
      <c r="L21" s="9" t="s">
        <v>31</v>
      </c>
      <c r="M21" s="10">
        <v>-9.6346541855751866E-11</v>
      </c>
      <c r="N21" s="11">
        <v>-9.7595542758455167E-11</v>
      </c>
      <c r="P21" s="17" t="s">
        <v>76</v>
      </c>
      <c r="Q21" s="17" t="s">
        <v>26</v>
      </c>
      <c r="R21" s="17" t="s">
        <v>89</v>
      </c>
      <c r="S21" s="23">
        <v>42398</v>
      </c>
      <c r="T21" s="23">
        <v>42402</v>
      </c>
      <c r="U21" s="23">
        <v>42706</v>
      </c>
      <c r="V21" s="19">
        <v>-3.8700000000000002E-3</v>
      </c>
      <c r="W21" s="19" t="b">
        <v>0</v>
      </c>
      <c r="Y21" s="61" t="s">
        <v>13</v>
      </c>
      <c r="Z21" s="61" t="s">
        <v>31</v>
      </c>
      <c r="AA21" s="61" t="s">
        <v>132</v>
      </c>
      <c r="AB21" s="23">
        <v>42662</v>
      </c>
      <c r="AC21" s="23">
        <v>42664</v>
      </c>
      <c r="AD21" s="23">
        <v>43304</v>
      </c>
      <c r="AE21" s="66">
        <v>6.5799999999999999E-3</v>
      </c>
      <c r="AF21" s="66" t="b">
        <v>1</v>
      </c>
    </row>
    <row r="22" spans="2:32" ht="12.75" customHeight="1" x14ac:dyDescent="0.25">
      <c r="B22" s="36"/>
      <c r="C22" s="36"/>
      <c r="D22" s="46">
        <f t="shared" si="0"/>
        <v>0.40626561926514843</v>
      </c>
      <c r="E22" s="46">
        <f t="shared" si="0"/>
        <v>1.181702570756376</v>
      </c>
      <c r="F22" s="46">
        <f t="shared" si="0"/>
        <v>7.6181184448240462E-4</v>
      </c>
      <c r="K22" s="3" t="s">
        <v>13</v>
      </c>
      <c r="L22" s="9" t="s">
        <v>32</v>
      </c>
      <c r="M22" s="10">
        <v>0.61307727745704876</v>
      </c>
      <c r="N22" s="11">
        <v>0.61307727745681451</v>
      </c>
      <c r="P22" s="17" t="s">
        <v>3</v>
      </c>
      <c r="Q22" s="17" t="s">
        <v>9</v>
      </c>
      <c r="R22" s="17" t="s">
        <v>72</v>
      </c>
      <c r="S22" s="23">
        <v>42667</v>
      </c>
      <c r="T22" s="23">
        <v>42669</v>
      </c>
      <c r="U22" s="23">
        <v>42718</v>
      </c>
      <c r="V22" s="19">
        <v>-4.5399999999999998E-3</v>
      </c>
      <c r="W22" s="19" t="b">
        <v>1</v>
      </c>
      <c r="Y22" s="61" t="s">
        <v>13</v>
      </c>
      <c r="Z22" s="61" t="s">
        <v>32</v>
      </c>
      <c r="AA22" s="61" t="s">
        <v>133</v>
      </c>
      <c r="AB22" s="23">
        <v>42662</v>
      </c>
      <c r="AC22" s="23">
        <v>42664</v>
      </c>
      <c r="AD22" s="23">
        <v>43395</v>
      </c>
      <c r="AE22" s="66">
        <v>6.7799999999999996E-3</v>
      </c>
      <c r="AF22" s="66" t="b">
        <v>1</v>
      </c>
    </row>
    <row r="23" spans="2:32" ht="12.75" customHeight="1" x14ac:dyDescent="0.25">
      <c r="B23" s="36"/>
      <c r="C23" s="36"/>
      <c r="D23" s="46">
        <f t="shared" si="0"/>
        <v>0.69460237744508768</v>
      </c>
      <c r="E23" s="46">
        <f t="shared" si="0"/>
        <v>1.4672959775182028</v>
      </c>
      <c r="F23" s="46">
        <f t="shared" si="0"/>
        <v>0.10302706156940709</v>
      </c>
      <c r="K23" s="3" t="s">
        <v>13</v>
      </c>
      <c r="L23" s="9" t="s">
        <v>33</v>
      </c>
      <c r="M23" s="10">
        <v>-9.4542429440735987E-13</v>
      </c>
      <c r="N23" s="11">
        <v>6.591949208711867E-13</v>
      </c>
      <c r="P23" s="17" t="s">
        <v>76</v>
      </c>
      <c r="Q23" s="17" t="s">
        <v>27</v>
      </c>
      <c r="R23" s="17" t="s">
        <v>90</v>
      </c>
      <c r="S23" s="23">
        <v>42398</v>
      </c>
      <c r="T23" s="23">
        <v>42402</v>
      </c>
      <c r="U23" s="23">
        <v>42737</v>
      </c>
      <c r="V23" s="19">
        <v>-3.9300000000000003E-3</v>
      </c>
      <c r="W23" s="19" t="b">
        <v>0</v>
      </c>
      <c r="Y23" s="61" t="s">
        <v>13</v>
      </c>
      <c r="Z23" s="61" t="s">
        <v>33</v>
      </c>
      <c r="AA23" s="61" t="s">
        <v>134</v>
      </c>
      <c r="AB23" s="23">
        <v>42662</v>
      </c>
      <c r="AC23" s="23">
        <v>42664</v>
      </c>
      <c r="AD23" s="23">
        <v>43759</v>
      </c>
      <c r="AE23" s="66">
        <v>7.4999999999999997E-3</v>
      </c>
      <c r="AF23" s="66" t="b">
        <v>1</v>
      </c>
    </row>
    <row r="24" spans="2:32" ht="12.75" customHeight="1" x14ac:dyDescent="0.25">
      <c r="B24" s="36"/>
      <c r="C24" s="36"/>
      <c r="D24" s="46">
        <f t="shared" si="0"/>
        <v>0.20538062448610392</v>
      </c>
      <c r="E24" s="46">
        <f t="shared" si="0"/>
        <v>0.60211820913243153</v>
      </c>
      <c r="F24" s="46">
        <f t="shared" si="0"/>
        <v>2.3976639955671295E-4</v>
      </c>
      <c r="K24" s="3" t="s">
        <v>13</v>
      </c>
      <c r="L24" s="9" t="s">
        <v>34</v>
      </c>
      <c r="M24" s="10">
        <v>-6.5052130349130266E-13</v>
      </c>
      <c r="N24" s="11">
        <v>-3.3827107781547738E-13</v>
      </c>
      <c r="P24" s="17" t="s">
        <v>3</v>
      </c>
      <c r="Q24" s="17" t="s">
        <v>10</v>
      </c>
      <c r="R24" s="17" t="s">
        <v>73</v>
      </c>
      <c r="S24" s="23">
        <v>42716</v>
      </c>
      <c r="T24" s="23">
        <v>42718</v>
      </c>
      <c r="U24" s="23">
        <v>42760</v>
      </c>
      <c r="V24" s="19">
        <v>-4.5700000000000011E-3</v>
      </c>
      <c r="W24" s="19" t="b">
        <v>1</v>
      </c>
      <c r="Y24" s="61" t="s">
        <v>13</v>
      </c>
      <c r="Z24" s="61" t="s">
        <v>34</v>
      </c>
      <c r="AA24" s="61" t="s">
        <v>135</v>
      </c>
      <c r="AB24" s="23">
        <v>42662</v>
      </c>
      <c r="AC24" s="23">
        <v>42664</v>
      </c>
      <c r="AD24" s="23">
        <v>44125</v>
      </c>
      <c r="AE24" s="66">
        <v>8.2199999999999999E-3</v>
      </c>
      <c r="AF24" s="66" t="b">
        <v>1</v>
      </c>
    </row>
    <row r="25" spans="2:32" ht="12.75" customHeight="1" x14ac:dyDescent="0.25">
      <c r="B25" s="36"/>
      <c r="C25" s="36"/>
      <c r="D25" s="46">
        <f t="shared" si="0"/>
        <v>0.17501718383724416</v>
      </c>
      <c r="E25" s="46">
        <f t="shared" si="0"/>
        <v>0.49001186747793674</v>
      </c>
      <c r="F25" s="46">
        <f t="shared" si="0"/>
        <v>1.3250468668119498E-3</v>
      </c>
      <c r="K25" s="3" t="s">
        <v>13</v>
      </c>
      <c r="L25" s="9" t="s">
        <v>35</v>
      </c>
      <c r="M25" s="10">
        <v>-4.3368086899420177E-13</v>
      </c>
      <c r="N25" s="11">
        <v>3.6429192995512949E-13</v>
      </c>
      <c r="P25" s="17" t="s">
        <v>76</v>
      </c>
      <c r="Q25" s="17" t="s">
        <v>150</v>
      </c>
      <c r="R25" s="17" t="s">
        <v>91</v>
      </c>
      <c r="S25" s="23">
        <v>42398</v>
      </c>
      <c r="T25" s="23">
        <v>42402</v>
      </c>
      <c r="U25" s="23">
        <v>42768</v>
      </c>
      <c r="V25" s="19">
        <v>-3.9500000000000004E-3</v>
      </c>
      <c r="W25" s="19" t="b">
        <v>0</v>
      </c>
      <c r="Y25" s="61" t="s">
        <v>13</v>
      </c>
      <c r="Z25" s="61" t="s">
        <v>35</v>
      </c>
      <c r="AA25" s="61" t="s">
        <v>136</v>
      </c>
      <c r="AB25" s="23">
        <v>42662</v>
      </c>
      <c r="AC25" s="23">
        <v>42664</v>
      </c>
      <c r="AD25" s="23">
        <v>44490</v>
      </c>
      <c r="AE25" s="66">
        <v>8.9599999999999992E-3</v>
      </c>
      <c r="AF25" s="66" t="b">
        <v>1</v>
      </c>
    </row>
    <row r="26" spans="2:32" ht="12.75" customHeight="1" x14ac:dyDescent="0.25">
      <c r="B26" s="36"/>
      <c r="C26" s="36"/>
      <c r="D26" s="46">
        <f t="shared" si="0"/>
        <v>0.10707328440927515</v>
      </c>
      <c r="E26" s="46">
        <f t="shared" si="0"/>
        <v>0.33402147508892693</v>
      </c>
      <c r="F26" s="46">
        <f t="shared" si="0"/>
        <v>1.6337784869540619E-4</v>
      </c>
      <c r="K26" s="3" t="s">
        <v>13</v>
      </c>
      <c r="L26" s="9" t="s">
        <v>36</v>
      </c>
      <c r="M26" s="10">
        <v>-4.8572257327350599E-13</v>
      </c>
      <c r="N26" s="11">
        <v>-3.1225022567582528E-13</v>
      </c>
      <c r="P26" s="17" t="s">
        <v>3</v>
      </c>
      <c r="Q26" s="17" t="s">
        <v>11</v>
      </c>
      <c r="R26" s="17" t="s">
        <v>74</v>
      </c>
      <c r="S26" s="23">
        <v>42758</v>
      </c>
      <c r="T26" s="23">
        <v>42760</v>
      </c>
      <c r="U26" s="23">
        <v>42809</v>
      </c>
      <c r="V26" s="19">
        <v>-4.5399999999999998E-3</v>
      </c>
      <c r="W26" s="19" t="b">
        <v>1</v>
      </c>
      <c r="Y26" s="61" t="s">
        <v>13</v>
      </c>
      <c r="Z26" s="61" t="s">
        <v>36</v>
      </c>
      <c r="AA26" s="61" t="s">
        <v>137</v>
      </c>
      <c r="AB26" s="23">
        <v>42662</v>
      </c>
      <c r="AC26" s="23">
        <v>42664</v>
      </c>
      <c r="AD26" s="23">
        <v>44855</v>
      </c>
      <c r="AE26" s="66">
        <v>9.7000000000000003E-3</v>
      </c>
      <c r="AF26" s="66" t="b">
        <v>1</v>
      </c>
    </row>
    <row r="27" spans="2:32" ht="12.75" customHeight="1" x14ac:dyDescent="0.25">
      <c r="B27" s="36"/>
      <c r="C27" s="36"/>
      <c r="D27" s="46">
        <f t="shared" si="0"/>
        <v>9.7755056442354951E-2</v>
      </c>
      <c r="E27" s="46">
        <f t="shared" si="0"/>
        <v>0.29004178386373325</v>
      </c>
      <c r="F27" s="46">
        <f t="shared" si="0"/>
        <v>3.9998061157078708E-5</v>
      </c>
      <c r="K27" s="3" t="s">
        <v>13</v>
      </c>
      <c r="L27" s="9" t="s">
        <v>37</v>
      </c>
      <c r="M27" s="10">
        <v>-1.7347234759768071E-14</v>
      </c>
      <c r="N27" s="11">
        <v>2.0816681711721685E-13</v>
      </c>
      <c r="P27" s="17" t="s">
        <v>76</v>
      </c>
      <c r="Q27" s="17" t="s">
        <v>29</v>
      </c>
      <c r="R27" s="17" t="s">
        <v>92</v>
      </c>
      <c r="S27" s="23">
        <v>42398</v>
      </c>
      <c r="T27" s="23">
        <v>42402</v>
      </c>
      <c r="U27" s="23">
        <v>42857</v>
      </c>
      <c r="V27" s="19">
        <v>-4.0800000000000003E-3</v>
      </c>
      <c r="W27" s="19" t="b">
        <v>0</v>
      </c>
      <c r="Y27" s="61" t="s">
        <v>13</v>
      </c>
      <c r="Z27" s="61" t="s">
        <v>37</v>
      </c>
      <c r="AA27" s="61" t="s">
        <v>138</v>
      </c>
      <c r="AB27" s="23">
        <v>42662</v>
      </c>
      <c r="AC27" s="23">
        <v>42664</v>
      </c>
      <c r="AD27" s="23">
        <v>45222</v>
      </c>
      <c r="AE27" s="66">
        <v>1.0410000000000001E-2</v>
      </c>
      <c r="AF27" s="66" t="b">
        <v>1</v>
      </c>
    </row>
    <row r="28" spans="2:32" ht="12.75" customHeight="1" x14ac:dyDescent="0.25">
      <c r="B28" s="36"/>
      <c r="C28" s="36"/>
      <c r="D28" s="46">
        <f t="shared" si="0"/>
        <v>7.1783781010323511E-2</v>
      </c>
      <c r="E28" s="46">
        <f t="shared" si="0"/>
        <v>0.22357628059267795</v>
      </c>
      <c r="F28" s="46">
        <f t="shared" si="0"/>
        <v>9.9068064062739726E-5</v>
      </c>
      <c r="K28" s="3" t="s">
        <v>13</v>
      </c>
      <c r="L28" s="9" t="s">
        <v>38</v>
      </c>
      <c r="M28" s="10">
        <v>4.1338460432527313E-11</v>
      </c>
      <c r="N28" s="11">
        <v>4.1251724258728473E-11</v>
      </c>
      <c r="P28" s="17" t="s">
        <v>3</v>
      </c>
      <c r="Q28" s="17" t="s">
        <v>12</v>
      </c>
      <c r="R28" s="17" t="s">
        <v>75</v>
      </c>
      <c r="S28" s="23">
        <v>42807</v>
      </c>
      <c r="T28" s="23">
        <v>42809</v>
      </c>
      <c r="U28" s="23">
        <v>42858</v>
      </c>
      <c r="V28" s="19">
        <v>-4.4500000000000008E-3</v>
      </c>
      <c r="W28" s="19" t="b">
        <v>1</v>
      </c>
      <c r="Y28" s="61" t="s">
        <v>13</v>
      </c>
      <c r="Z28" s="61" t="s">
        <v>38</v>
      </c>
      <c r="AA28" s="61" t="s">
        <v>139</v>
      </c>
      <c r="AB28" s="23">
        <v>42662</v>
      </c>
      <c r="AC28" s="23">
        <v>42664</v>
      </c>
      <c r="AD28" s="23">
        <v>45586</v>
      </c>
      <c r="AE28" s="66">
        <v>1.1050000000000001E-2</v>
      </c>
      <c r="AF28" s="66" t="b">
        <v>1</v>
      </c>
    </row>
    <row r="29" spans="2:32" ht="12.75" customHeight="1" x14ac:dyDescent="0.25">
      <c r="B29" s="36"/>
      <c r="C29" s="36"/>
      <c r="D29" s="46">
        <f t="shared" si="0"/>
        <v>0.36328751316323793</v>
      </c>
      <c r="E29" s="46">
        <f t="shared" si="0"/>
        <v>0.62444212341861205</v>
      </c>
      <c r="F29" s="46">
        <f t="shared" si="0"/>
        <v>0.1214467554146758</v>
      </c>
      <c r="K29" s="3" t="s">
        <v>13</v>
      </c>
      <c r="L29" s="9" t="s">
        <v>39</v>
      </c>
      <c r="M29" s="10">
        <v>2.7308016958826897E-10</v>
      </c>
      <c r="N29" s="11">
        <v>2.7309751682302874E-10</v>
      </c>
      <c r="P29" s="17" t="s">
        <v>76</v>
      </c>
      <c r="Q29" s="17" t="s">
        <v>30</v>
      </c>
      <c r="R29" s="17" t="s">
        <v>93</v>
      </c>
      <c r="S29" s="23">
        <v>42398</v>
      </c>
      <c r="T29" s="23">
        <v>42402</v>
      </c>
      <c r="U29" s="23">
        <v>42949</v>
      </c>
      <c r="V29" s="19">
        <v>-4.15E-3</v>
      </c>
      <c r="W29" s="19" t="b">
        <v>1</v>
      </c>
      <c r="Y29" s="61" t="s">
        <v>13</v>
      </c>
      <c r="Z29" s="61" t="s">
        <v>39</v>
      </c>
      <c r="AA29" s="61" t="s">
        <v>140</v>
      </c>
      <c r="AB29" s="23">
        <v>42662</v>
      </c>
      <c r="AC29" s="23">
        <v>42664</v>
      </c>
      <c r="AD29" s="23">
        <v>45951</v>
      </c>
      <c r="AE29" s="66">
        <v>1.162E-2</v>
      </c>
      <c r="AF29" s="66" t="b">
        <v>1</v>
      </c>
    </row>
    <row r="30" spans="2:32" ht="12.75" customHeight="1" x14ac:dyDescent="0.25">
      <c r="B30" s="36"/>
      <c r="C30" s="36"/>
      <c r="D30" s="46">
        <f t="shared" si="0"/>
        <v>5.8477918943493627E-2</v>
      </c>
      <c r="E30" s="46">
        <f t="shared" si="0"/>
        <v>0.15413233529212961</v>
      </c>
      <c r="F30" s="46">
        <f t="shared" si="0"/>
        <v>1.3737862130761985E-3</v>
      </c>
      <c r="K30" s="3" t="s">
        <v>13</v>
      </c>
      <c r="L30" s="9" t="s">
        <v>40</v>
      </c>
      <c r="M30" s="10">
        <v>-1.684243022825882E-10</v>
      </c>
      <c r="N30" s="11">
        <v>-1.6884063591682263E-10</v>
      </c>
      <c r="P30" s="17" t="s">
        <v>76</v>
      </c>
      <c r="Q30" s="17" t="s">
        <v>31</v>
      </c>
      <c r="R30" s="17" t="s">
        <v>94</v>
      </c>
      <c r="S30" s="23">
        <v>42398</v>
      </c>
      <c r="T30" s="23">
        <v>42402</v>
      </c>
      <c r="U30" s="23">
        <v>43041</v>
      </c>
      <c r="V30" s="19">
        <v>-4.1600000000000005E-3</v>
      </c>
      <c r="W30" s="19" t="b">
        <v>1</v>
      </c>
      <c r="Y30" s="61" t="s">
        <v>13</v>
      </c>
      <c r="Z30" s="61" t="s">
        <v>40</v>
      </c>
      <c r="AA30" s="61" t="s">
        <v>141</v>
      </c>
      <c r="AB30" s="23">
        <v>42662</v>
      </c>
      <c r="AC30" s="23">
        <v>42664</v>
      </c>
      <c r="AD30" s="23">
        <v>46316</v>
      </c>
      <c r="AE30" s="66">
        <v>1.214E-2</v>
      </c>
      <c r="AF30" s="66" t="b">
        <v>1</v>
      </c>
    </row>
    <row r="31" spans="2:32" ht="12.75" customHeight="1" x14ac:dyDescent="0.25">
      <c r="B31" s="36"/>
      <c r="C31" s="36"/>
      <c r="D31" s="46"/>
      <c r="E31" s="36"/>
      <c r="F31" s="36"/>
      <c r="K31" s="3" t="s">
        <v>13</v>
      </c>
      <c r="L31" s="9" t="s">
        <v>42</v>
      </c>
      <c r="M31" s="10">
        <v>-9.1471968888257038E-11</v>
      </c>
      <c r="N31" s="11">
        <v>-9.1142371427821445E-11</v>
      </c>
      <c r="P31" s="17" t="s">
        <v>76</v>
      </c>
      <c r="Q31" s="17" t="s">
        <v>32</v>
      </c>
      <c r="R31" s="17" t="s">
        <v>95</v>
      </c>
      <c r="S31" s="23">
        <v>42398</v>
      </c>
      <c r="T31" s="23">
        <v>42402</v>
      </c>
      <c r="U31" s="23">
        <v>43133</v>
      </c>
      <c r="V31" s="19">
        <v>-4.13E-3</v>
      </c>
      <c r="W31" s="19" t="b">
        <v>1</v>
      </c>
      <c r="Y31" s="61" t="s">
        <v>13</v>
      </c>
      <c r="Z31" s="61" t="s">
        <v>42</v>
      </c>
      <c r="AA31" s="61" t="s">
        <v>142</v>
      </c>
      <c r="AB31" s="23">
        <v>42662</v>
      </c>
      <c r="AC31" s="23">
        <v>42664</v>
      </c>
      <c r="AD31" s="23">
        <v>47049</v>
      </c>
      <c r="AE31" s="66">
        <v>1.303E-2</v>
      </c>
      <c r="AF31" s="66" t="b">
        <v>1</v>
      </c>
    </row>
    <row r="32" spans="2:32" ht="12.75" customHeight="1" x14ac:dyDescent="0.25">
      <c r="B32" s="36"/>
      <c r="C32" s="36"/>
      <c r="D32" s="36">
        <f>SUM(D19:D30)</f>
        <v>3.8847228282935502</v>
      </c>
      <c r="E32" s="36">
        <f>SUM(E19:E30)</f>
        <v>17.321764567554887</v>
      </c>
      <c r="F32" s="36">
        <f>SUM(F19:F30)</f>
        <v>0.2338078306953012</v>
      </c>
      <c r="H32" s="25" t="s">
        <v>151</v>
      </c>
      <c r="I32" s="27">
        <v>-2.3711004578192657E-3</v>
      </c>
      <c r="K32" s="3" t="s">
        <v>13</v>
      </c>
      <c r="L32" s="9" t="s">
        <v>43</v>
      </c>
      <c r="M32" s="10">
        <v>-5.2041704279304213E-14</v>
      </c>
      <c r="N32" s="11">
        <v>3.6429192995512949E-13</v>
      </c>
      <c r="P32" s="17" t="s">
        <v>76</v>
      </c>
      <c r="Q32" s="17" t="s">
        <v>33</v>
      </c>
      <c r="R32" s="17" t="s">
        <v>96</v>
      </c>
      <c r="S32" s="23">
        <v>42398</v>
      </c>
      <c r="T32" s="23">
        <v>42402</v>
      </c>
      <c r="U32" s="23">
        <v>43500</v>
      </c>
      <c r="V32" s="19">
        <v>-3.7299999999999998E-3</v>
      </c>
      <c r="W32" s="19" t="b">
        <v>1</v>
      </c>
      <c r="Y32" s="61" t="s">
        <v>13</v>
      </c>
      <c r="Z32" s="61" t="s">
        <v>43</v>
      </c>
      <c r="AA32" s="61" t="s">
        <v>143</v>
      </c>
      <c r="AB32" s="23">
        <v>42662</v>
      </c>
      <c r="AC32" s="23">
        <v>42664</v>
      </c>
      <c r="AD32" s="23">
        <v>48142</v>
      </c>
      <c r="AE32" s="66">
        <v>1.3990000000000001E-2</v>
      </c>
      <c r="AF32" s="66" t="b">
        <v>1</v>
      </c>
    </row>
    <row r="33" spans="2:32" ht="12.75" customHeight="1" x14ac:dyDescent="0.25">
      <c r="B33" s="36"/>
      <c r="C33" s="36"/>
      <c r="D33" s="36">
        <f>D32/12</f>
        <v>0.32372690235779583</v>
      </c>
      <c r="E33" s="36">
        <f>E32/12</f>
        <v>1.443480380629574</v>
      </c>
      <c r="F33" s="36">
        <f>F32/12</f>
        <v>1.9483985891275101E-2</v>
      </c>
      <c r="H33" s="28" t="s">
        <v>152</v>
      </c>
      <c r="I33" s="29">
        <v>-2.6681004578192656E-3</v>
      </c>
      <c r="K33" s="3" t="s">
        <v>13</v>
      </c>
      <c r="L33" s="9" t="s">
        <v>44</v>
      </c>
      <c r="M33" s="10">
        <v>-2.9490299091605721E-13</v>
      </c>
      <c r="N33" s="11">
        <v>-5.2041704279304213E-13</v>
      </c>
      <c r="P33" s="17" t="s">
        <v>76</v>
      </c>
      <c r="Q33" s="17" t="s">
        <v>34</v>
      </c>
      <c r="R33" s="17" t="s">
        <v>97</v>
      </c>
      <c r="S33" s="23">
        <v>42398</v>
      </c>
      <c r="T33" s="23">
        <v>42402</v>
      </c>
      <c r="U33" s="23">
        <v>43864</v>
      </c>
      <c r="V33" s="19">
        <v>-2.9200000000000003E-3</v>
      </c>
      <c r="W33" s="19" t="b">
        <v>1</v>
      </c>
      <c r="Y33" s="61" t="s">
        <v>13</v>
      </c>
      <c r="Z33" s="61" t="s">
        <v>44</v>
      </c>
      <c r="AA33" s="61" t="s">
        <v>144</v>
      </c>
      <c r="AB33" s="23">
        <v>42662</v>
      </c>
      <c r="AC33" s="23">
        <v>42664</v>
      </c>
      <c r="AD33" s="23">
        <v>49969</v>
      </c>
      <c r="AE33" s="66">
        <v>1.495E-2</v>
      </c>
      <c r="AF33" s="66" t="b">
        <v>1</v>
      </c>
    </row>
    <row r="34" spans="2:32" ht="12.75" customHeight="1" x14ac:dyDescent="0.25">
      <c r="B34" s="36"/>
      <c r="C34" s="36"/>
      <c r="D34" s="36">
        <f>SQRT(D33)</f>
        <v>0.56897003643232025</v>
      </c>
      <c r="E34" s="36">
        <f>SQRT(E33)</f>
        <v>1.2014492834196431</v>
      </c>
      <c r="F34" s="36">
        <f>SQRT(F33)</f>
        <v>0.13958504895322815</v>
      </c>
      <c r="K34" s="3" t="s">
        <v>13</v>
      </c>
      <c r="L34" s="9" t="s">
        <v>45</v>
      </c>
      <c r="M34" s="10">
        <v>2.7755575615628914E-13</v>
      </c>
      <c r="N34" s="11">
        <v>-4.5102810375396984E-13</v>
      </c>
      <c r="P34" s="17" t="s">
        <v>76</v>
      </c>
      <c r="Q34" s="17" t="s">
        <v>35</v>
      </c>
      <c r="R34" s="17" t="s">
        <v>98</v>
      </c>
      <c r="S34" s="23">
        <v>42398</v>
      </c>
      <c r="T34" s="23">
        <v>42402</v>
      </c>
      <c r="U34" s="23">
        <v>44229</v>
      </c>
      <c r="V34" s="19">
        <v>-1.8699999999999999E-3</v>
      </c>
      <c r="W34" s="19" t="b">
        <v>1</v>
      </c>
      <c r="Y34" s="61" t="s">
        <v>13</v>
      </c>
      <c r="Z34" s="61" t="s">
        <v>45</v>
      </c>
      <c r="AA34" s="61" t="s">
        <v>145</v>
      </c>
      <c r="AB34" s="23">
        <v>42662</v>
      </c>
      <c r="AC34" s="23">
        <v>42664</v>
      </c>
      <c r="AD34" s="23">
        <v>51795</v>
      </c>
      <c r="AE34" s="66">
        <v>1.537E-2</v>
      </c>
      <c r="AF34" s="66" t="b">
        <v>1</v>
      </c>
    </row>
    <row r="35" spans="2:32" ht="12.75" customHeight="1" x14ac:dyDescent="0.25">
      <c r="K35" s="3" t="s">
        <v>13</v>
      </c>
      <c r="L35" s="9" t="s">
        <v>46</v>
      </c>
      <c r="M35" s="10">
        <v>-1.214306433183765E-13</v>
      </c>
      <c r="N35" s="11">
        <v>-5.7245874707234634E-13</v>
      </c>
      <c r="P35" s="17" t="s">
        <v>76</v>
      </c>
      <c r="Q35" s="17" t="s">
        <v>36</v>
      </c>
      <c r="R35" s="17" t="s">
        <v>99</v>
      </c>
      <c r="S35" s="23">
        <v>42398</v>
      </c>
      <c r="T35" s="23">
        <v>42402</v>
      </c>
      <c r="U35" s="23">
        <v>44594</v>
      </c>
      <c r="V35" s="19">
        <v>-6.2E-4</v>
      </c>
      <c r="W35" s="19" t="b">
        <v>1</v>
      </c>
      <c r="Y35" s="61" t="s">
        <v>13</v>
      </c>
      <c r="Z35" s="61" t="s">
        <v>46</v>
      </c>
      <c r="AA35" s="61" t="s">
        <v>146</v>
      </c>
      <c r="AB35" s="23">
        <v>42662</v>
      </c>
      <c r="AC35" s="23">
        <v>42664</v>
      </c>
      <c r="AD35" s="23">
        <v>53622</v>
      </c>
      <c r="AE35" s="66">
        <v>1.5559999999999999E-2</v>
      </c>
      <c r="AF35" s="66" t="b">
        <v>1</v>
      </c>
    </row>
    <row r="36" spans="2:32" ht="12.75" customHeight="1" x14ac:dyDescent="0.25">
      <c r="B36" s="51" t="s">
        <v>153</v>
      </c>
      <c r="C36" s="52"/>
      <c r="D36" s="52"/>
      <c r="E36" s="52"/>
      <c r="F36" s="52"/>
      <c r="G36" s="53"/>
      <c r="K36" s="3" t="s">
        <v>13</v>
      </c>
      <c r="L36" s="9" t="s">
        <v>47</v>
      </c>
      <c r="M36" s="10">
        <v>-8.8470897274817162E-13</v>
      </c>
      <c r="N36" s="11">
        <v>-2.6020852139652106E-13</v>
      </c>
      <c r="P36" s="17" t="s">
        <v>76</v>
      </c>
      <c r="Q36" s="17" t="s">
        <v>37</v>
      </c>
      <c r="R36" s="17" t="s">
        <v>100</v>
      </c>
      <c r="S36" s="23">
        <v>42398</v>
      </c>
      <c r="T36" s="23">
        <v>42402</v>
      </c>
      <c r="U36" s="23">
        <v>44959</v>
      </c>
      <c r="V36" s="19">
        <v>6.9000000000000008E-4</v>
      </c>
      <c r="W36" s="19" t="b">
        <v>1</v>
      </c>
      <c r="Y36" s="61" t="s">
        <v>13</v>
      </c>
      <c r="Z36" s="61" t="s">
        <v>47</v>
      </c>
      <c r="AA36" s="61" t="s">
        <v>147</v>
      </c>
      <c r="AB36" s="23">
        <v>42662</v>
      </c>
      <c r="AC36" s="23">
        <v>42664</v>
      </c>
      <c r="AD36" s="23">
        <v>57276</v>
      </c>
      <c r="AE36" s="66">
        <v>1.5640000000000001E-2</v>
      </c>
      <c r="AF36" s="66" t="b">
        <v>1</v>
      </c>
    </row>
    <row r="37" spans="2:32" ht="12.75" customHeight="1" x14ac:dyDescent="0.25">
      <c r="B37" s="47" t="s">
        <v>0</v>
      </c>
      <c r="C37" s="48"/>
      <c r="D37" s="26" t="s">
        <v>154</v>
      </c>
      <c r="E37" s="26" t="s">
        <v>155</v>
      </c>
      <c r="F37" s="26" t="s">
        <v>1</v>
      </c>
      <c r="G37" s="26" t="s">
        <v>2</v>
      </c>
      <c r="K37" s="3" t="s">
        <v>13</v>
      </c>
      <c r="L37" s="9" t="s">
        <v>56</v>
      </c>
      <c r="M37" s="10">
        <v>9.9849808406406865E-2</v>
      </c>
      <c r="N37" s="11">
        <v>9.9849808406146656E-2</v>
      </c>
      <c r="P37" s="17" t="s">
        <v>76</v>
      </c>
      <c r="Q37" s="17" t="s">
        <v>38</v>
      </c>
      <c r="R37" s="17" t="s">
        <v>101</v>
      </c>
      <c r="S37" s="23">
        <v>42398</v>
      </c>
      <c r="T37" s="23">
        <v>42402</v>
      </c>
      <c r="U37" s="23">
        <v>45324</v>
      </c>
      <c r="V37" s="19">
        <v>1.99E-3</v>
      </c>
      <c r="W37" s="19" t="b">
        <v>1</v>
      </c>
      <c r="Y37" s="61" t="s">
        <v>13</v>
      </c>
      <c r="Z37" s="61" t="s">
        <v>56</v>
      </c>
      <c r="AA37" s="61" t="s">
        <v>148</v>
      </c>
      <c r="AB37" s="23">
        <v>42662</v>
      </c>
      <c r="AC37" s="23">
        <v>42664</v>
      </c>
      <c r="AD37" s="23">
        <v>59100</v>
      </c>
      <c r="AE37" s="66">
        <v>1.555E-2</v>
      </c>
      <c r="AF37" s="66" t="b">
        <v>1</v>
      </c>
    </row>
    <row r="38" spans="2:32" ht="12.75" customHeight="1" x14ac:dyDescent="0.25">
      <c r="B38" s="30" t="s">
        <v>13</v>
      </c>
      <c r="C38" s="31" t="s">
        <v>18</v>
      </c>
      <c r="D38" s="32">
        <v>-1.2197634189367937E-3</v>
      </c>
      <c r="E38" s="33">
        <v>-7.9854038183974074E-4</v>
      </c>
      <c r="F38" s="32">
        <v>-1.2197634833991181E-3</v>
      </c>
      <c r="G38" s="33">
        <v>-1.2197634833991181E-3</v>
      </c>
      <c r="K38" s="4" t="s">
        <v>13</v>
      </c>
      <c r="L38" s="12" t="s">
        <v>48</v>
      </c>
      <c r="M38" s="13">
        <v>3.4694469519536142E-14</v>
      </c>
      <c r="N38" s="14">
        <v>2.7755575615628914E-13</v>
      </c>
      <c r="P38" s="17" t="s">
        <v>76</v>
      </c>
      <c r="Q38" s="17" t="s">
        <v>39</v>
      </c>
      <c r="R38" s="17" t="s">
        <v>102</v>
      </c>
      <c r="S38" s="23">
        <v>42398</v>
      </c>
      <c r="T38" s="23">
        <v>42402</v>
      </c>
      <c r="U38" s="23">
        <v>45691</v>
      </c>
      <c r="V38" s="19">
        <v>3.2299999999999994E-3</v>
      </c>
      <c r="W38" s="19" t="b">
        <v>1</v>
      </c>
      <c r="Y38" s="62" t="s">
        <v>13</v>
      </c>
      <c r="Z38" s="62" t="s">
        <v>48</v>
      </c>
      <c r="AA38" s="62" t="s">
        <v>149</v>
      </c>
      <c r="AB38" s="24">
        <v>42662</v>
      </c>
      <c r="AC38" s="24">
        <v>42664</v>
      </c>
      <c r="AD38" s="24">
        <v>60926</v>
      </c>
      <c r="AE38" s="67">
        <v>1.549E-2</v>
      </c>
      <c r="AF38" s="67" t="b">
        <v>1</v>
      </c>
    </row>
    <row r="39" spans="2:32" ht="12.75" customHeight="1" x14ac:dyDescent="0.25">
      <c r="B39" s="34" t="s">
        <v>13</v>
      </c>
      <c r="C39" s="35" t="s">
        <v>19</v>
      </c>
      <c r="D39" s="36">
        <v>-5.1963937908005957E-2</v>
      </c>
      <c r="E39" s="37">
        <v>-0.51584959818811149</v>
      </c>
      <c r="F39" s="36">
        <v>-5.196393795685577E-2</v>
      </c>
      <c r="G39" s="37">
        <v>-5.196393795685577E-2</v>
      </c>
      <c r="P39" s="17" t="s">
        <v>76</v>
      </c>
      <c r="Q39" s="17" t="s">
        <v>40</v>
      </c>
      <c r="R39" s="17" t="s">
        <v>103</v>
      </c>
      <c r="S39" s="23">
        <v>42398</v>
      </c>
      <c r="T39" s="23">
        <v>42402</v>
      </c>
      <c r="U39" s="23">
        <v>46055</v>
      </c>
      <c r="V39" s="19">
        <v>4.3699999999999998E-3</v>
      </c>
      <c r="W39" s="19" t="b">
        <v>1</v>
      </c>
    </row>
    <row r="40" spans="2:32" ht="12.75" customHeight="1" x14ac:dyDescent="0.25">
      <c r="B40" s="34" t="s">
        <v>13</v>
      </c>
      <c r="C40" s="35" t="s">
        <v>20</v>
      </c>
      <c r="D40" s="36">
        <v>5.1277867519497825E-2</v>
      </c>
      <c r="E40" s="37">
        <v>-0.21347847731497099</v>
      </c>
      <c r="F40" s="36">
        <v>5.1277867493073649E-2</v>
      </c>
      <c r="G40" s="37">
        <v>5.1277867493073649E-2</v>
      </c>
      <c r="H40" s="36"/>
      <c r="I40" s="36"/>
      <c r="P40" s="17" t="s">
        <v>76</v>
      </c>
      <c r="Q40" s="17" t="s">
        <v>41</v>
      </c>
      <c r="R40" s="17" t="s">
        <v>104</v>
      </c>
      <c r="S40" s="23">
        <v>42398</v>
      </c>
      <c r="T40" s="23">
        <v>42402</v>
      </c>
      <c r="U40" s="23">
        <v>46420</v>
      </c>
      <c r="V40" s="19">
        <v>5.3900000000000007E-3</v>
      </c>
      <c r="W40" s="19" t="b">
        <v>1</v>
      </c>
    </row>
    <row r="41" spans="2:32" ht="12.75" customHeight="1" x14ac:dyDescent="0.25">
      <c r="B41" s="34" t="s">
        <v>13</v>
      </c>
      <c r="C41" s="35" t="s">
        <v>21</v>
      </c>
      <c r="D41" s="36">
        <v>-2.7600938268296411E-2</v>
      </c>
      <c r="E41" s="37">
        <v>-0.12178656776780805</v>
      </c>
      <c r="F41" s="36">
        <v>-2.7600938297027769E-2</v>
      </c>
      <c r="G41" s="37">
        <v>-2.7600938297027769E-2</v>
      </c>
      <c r="H41" s="36"/>
      <c r="I41" s="36"/>
      <c r="P41" s="17" t="s">
        <v>76</v>
      </c>
      <c r="Q41" s="17" t="s">
        <v>42</v>
      </c>
      <c r="R41" s="17" t="s">
        <v>105</v>
      </c>
      <c r="S41" s="23">
        <v>42398</v>
      </c>
      <c r="T41" s="23">
        <v>42402</v>
      </c>
      <c r="U41" s="23">
        <v>46785</v>
      </c>
      <c r="V41" s="19">
        <v>6.3099999999999996E-3</v>
      </c>
      <c r="W41" s="19" t="b">
        <v>1</v>
      </c>
    </row>
    <row r="42" spans="2:32" ht="12.75" customHeight="1" x14ac:dyDescent="0.25">
      <c r="B42" s="34" t="s">
        <v>13</v>
      </c>
      <c r="C42" s="35" t="s">
        <v>22</v>
      </c>
      <c r="D42" s="36">
        <v>-0.32097828753945273</v>
      </c>
      <c r="E42" s="37">
        <v>-0.5486676191393276</v>
      </c>
      <c r="F42" s="36">
        <v>-0.32097828756141</v>
      </c>
      <c r="G42" s="37">
        <v>-0.32097828756140567</v>
      </c>
      <c r="P42" s="17" t="s">
        <v>76</v>
      </c>
      <c r="Q42" s="17" t="s">
        <v>43</v>
      </c>
      <c r="R42" s="17" t="s">
        <v>106</v>
      </c>
      <c r="S42" s="23">
        <v>42398</v>
      </c>
      <c r="T42" s="23">
        <v>42402</v>
      </c>
      <c r="U42" s="23">
        <v>47882</v>
      </c>
      <c r="V42" s="19">
        <v>8.4099999999999991E-3</v>
      </c>
      <c r="W42" s="19" t="b">
        <v>1</v>
      </c>
    </row>
    <row r="43" spans="2:32" ht="12.75" customHeight="1" x14ac:dyDescent="0.25">
      <c r="B43" s="34" t="s">
        <v>13</v>
      </c>
      <c r="C43" s="35" t="s">
        <v>23</v>
      </c>
      <c r="D43" s="36">
        <v>-1.5484391463192228E-2</v>
      </c>
      <c r="E43" s="37">
        <v>-0.18566224236727519</v>
      </c>
      <c r="F43" s="36">
        <v>-1.5484391480079761E-2</v>
      </c>
      <c r="G43" s="37">
        <v>-1.5484391480079761E-2</v>
      </c>
      <c r="P43" s="17" t="s">
        <v>76</v>
      </c>
      <c r="Q43" s="17" t="s">
        <v>44</v>
      </c>
      <c r="R43" s="17" t="s">
        <v>107</v>
      </c>
      <c r="S43" s="23">
        <v>42398</v>
      </c>
      <c r="T43" s="23">
        <v>42402</v>
      </c>
      <c r="U43" s="23">
        <v>49709</v>
      </c>
      <c r="V43" s="19">
        <v>1.0280000000000001E-2</v>
      </c>
      <c r="W43" s="19" t="b">
        <v>1</v>
      </c>
    </row>
    <row r="44" spans="2:32" ht="12.75" customHeight="1" x14ac:dyDescent="0.25">
      <c r="B44" s="34" t="s">
        <v>13</v>
      </c>
      <c r="C44" s="35" t="s">
        <v>24</v>
      </c>
      <c r="D44" s="36">
        <v>-3.6401192629298938E-2</v>
      </c>
      <c r="E44" s="37">
        <v>-0.1787858602888279</v>
      </c>
      <c r="F44" s="36">
        <v>-3.6401192642404774E-2</v>
      </c>
      <c r="G44" s="37">
        <v>-3.6401192642387427E-2</v>
      </c>
      <c r="H44" s="36"/>
      <c r="I44" s="36"/>
      <c r="P44" s="17" t="s">
        <v>76</v>
      </c>
      <c r="Q44" s="17" t="s">
        <v>45</v>
      </c>
      <c r="R44" s="17" t="s">
        <v>108</v>
      </c>
      <c r="S44" s="23">
        <v>42398</v>
      </c>
      <c r="T44" s="23">
        <v>42402</v>
      </c>
      <c r="U44" s="23">
        <v>51536</v>
      </c>
      <c r="V44" s="19">
        <v>1.0920000000000001E-2</v>
      </c>
      <c r="W44" s="19" t="b">
        <v>1</v>
      </c>
    </row>
    <row r="45" spans="2:32" ht="12.75" customHeight="1" x14ac:dyDescent="0.25">
      <c r="B45" s="34" t="s">
        <v>13</v>
      </c>
      <c r="C45" s="35" t="s">
        <v>25</v>
      </c>
      <c r="D45" s="36">
        <v>1.2781934979545946E-2</v>
      </c>
      <c r="E45" s="37">
        <v>-0.13390319368298575</v>
      </c>
      <c r="F45" s="36">
        <v>1.2781934967879931E-2</v>
      </c>
      <c r="G45" s="37">
        <v>1.2781934967875594E-2</v>
      </c>
      <c r="H45" s="36"/>
      <c r="I45" s="36"/>
      <c r="P45" s="17" t="s">
        <v>76</v>
      </c>
      <c r="Q45" s="17" t="s">
        <v>46</v>
      </c>
      <c r="R45" s="17" t="s">
        <v>109</v>
      </c>
      <c r="S45" s="23">
        <v>42398</v>
      </c>
      <c r="T45" s="23">
        <v>42402</v>
      </c>
      <c r="U45" s="23">
        <v>53360</v>
      </c>
      <c r="V45" s="19">
        <v>1.1160000000000002E-2</v>
      </c>
      <c r="W45" s="19" t="b">
        <v>1</v>
      </c>
    </row>
    <row r="46" spans="2:32" ht="12.75" customHeight="1" x14ac:dyDescent="0.25">
      <c r="B46" s="34" t="s">
        <v>13</v>
      </c>
      <c r="C46" s="35" t="s">
        <v>26</v>
      </c>
      <c r="D46" s="36">
        <v>-6.3244015767027068E-3</v>
      </c>
      <c r="E46" s="37">
        <v>-0.12913710360714076</v>
      </c>
      <c r="F46" s="36">
        <v>-6.3244015872194678E-3</v>
      </c>
      <c r="G46" s="37">
        <v>-6.3244015872238046E-3</v>
      </c>
      <c r="H46" s="36"/>
      <c r="I46" s="36"/>
      <c r="P46" s="17" t="s">
        <v>76</v>
      </c>
      <c r="Q46" s="17" t="s">
        <v>47</v>
      </c>
      <c r="R46" s="17" t="s">
        <v>110</v>
      </c>
      <c r="S46" s="23">
        <v>42398</v>
      </c>
      <c r="T46" s="23">
        <v>42402</v>
      </c>
      <c r="U46" s="23">
        <v>57012</v>
      </c>
      <c r="V46" s="19">
        <v>1.1379999999999999E-2</v>
      </c>
      <c r="W46" s="19" t="b">
        <v>1</v>
      </c>
    </row>
    <row r="47" spans="2:32" ht="12.75" customHeight="1" x14ac:dyDescent="0.25">
      <c r="B47" s="34" t="s">
        <v>13</v>
      </c>
      <c r="C47" s="35" t="s">
        <v>27</v>
      </c>
      <c r="D47" s="36">
        <v>-2.9331179361496637E-2</v>
      </c>
      <c r="E47" s="37">
        <v>-0.11072460559445607</v>
      </c>
      <c r="F47" s="36">
        <v>-2.9331179372234575E-2</v>
      </c>
      <c r="G47" s="37">
        <v>-2.9331179372225902E-2</v>
      </c>
      <c r="H47" s="36"/>
      <c r="I47" s="36"/>
      <c r="P47" s="17" t="s">
        <v>76</v>
      </c>
      <c r="Q47" s="17" t="s">
        <v>48</v>
      </c>
      <c r="R47" s="17" t="s">
        <v>111</v>
      </c>
      <c r="S47" s="23">
        <v>42398</v>
      </c>
      <c r="T47" s="23">
        <v>42402</v>
      </c>
      <c r="U47" s="23">
        <v>60665</v>
      </c>
      <c r="V47" s="19">
        <v>1.1089999999999999E-2</v>
      </c>
      <c r="W47" s="19" t="b">
        <v>1</v>
      </c>
    </row>
    <row r="48" spans="2:32" ht="12.75" customHeight="1" x14ac:dyDescent="0.25">
      <c r="B48" s="34" t="s">
        <v>13</v>
      </c>
      <c r="C48" s="35" t="s">
        <v>150</v>
      </c>
      <c r="D48" s="36">
        <v>-0.3485357734968591</v>
      </c>
      <c r="E48" s="37">
        <v>-0.47420403705938746</v>
      </c>
      <c r="F48" s="36">
        <v>-0.34853577350450921</v>
      </c>
      <c r="G48" s="37">
        <v>-0.34853577350450055</v>
      </c>
      <c r="H48" s="36"/>
      <c r="I48" s="36"/>
      <c r="P48" s="18" t="s">
        <v>76</v>
      </c>
      <c r="Q48" s="18" t="s">
        <v>49</v>
      </c>
      <c r="R48" s="18" t="s">
        <v>112</v>
      </c>
      <c r="S48" s="24">
        <v>42398</v>
      </c>
      <c r="T48" s="24">
        <v>42402</v>
      </c>
      <c r="U48" s="24">
        <v>64318</v>
      </c>
      <c r="V48" s="20">
        <v>1.1049999999999999E-2</v>
      </c>
      <c r="W48" s="20" t="b">
        <v>1</v>
      </c>
    </row>
    <row r="49" spans="2:9" x14ac:dyDescent="0.25">
      <c r="B49" s="38" t="s">
        <v>13</v>
      </c>
      <c r="C49" s="39" t="s">
        <v>29</v>
      </c>
      <c r="D49" s="40">
        <v>-3.7360055589854071E-2</v>
      </c>
      <c r="E49" s="41">
        <v>-0.1283963356469523</v>
      </c>
      <c r="F49" s="40">
        <v>-3.7360055594494457E-2</v>
      </c>
      <c r="G49" s="41">
        <v>-3.7360055594173533E-2</v>
      </c>
      <c r="H49" s="36"/>
      <c r="I49" s="36"/>
    </row>
    <row r="50" spans="2:9" x14ac:dyDescent="0.25">
      <c r="B50" s="49" t="s">
        <v>156</v>
      </c>
      <c r="C50" s="50"/>
      <c r="D50" s="42">
        <f>D69</f>
        <v>0.13982772066383301</v>
      </c>
      <c r="E50" s="42">
        <f>E69</f>
        <v>0.28609423931294281</v>
      </c>
      <c r="F50" s="42">
        <f>F69</f>
        <v>0.1398277206715291</v>
      </c>
      <c r="G50" s="42">
        <f>G69</f>
        <v>0.13982772067151877</v>
      </c>
      <c r="H50" s="36"/>
      <c r="I50" s="36"/>
    </row>
    <row r="51" spans="2:9" x14ac:dyDescent="0.25">
      <c r="B51" s="49" t="s">
        <v>157</v>
      </c>
      <c r="C51" s="50"/>
      <c r="D51" s="42">
        <f>D48</f>
        <v>-0.3485357734968591</v>
      </c>
      <c r="E51" s="42">
        <f>E42</f>
        <v>-0.5486676191393276</v>
      </c>
      <c r="F51" s="42">
        <f>F48</f>
        <v>-0.34853577350450921</v>
      </c>
      <c r="G51" s="42">
        <f>G48</f>
        <v>-0.34853577350450055</v>
      </c>
      <c r="H51" s="36"/>
      <c r="I51" s="36"/>
    </row>
    <row r="54" spans="2:9" x14ac:dyDescent="0.25">
      <c r="D54" s="46">
        <f>D38^2</f>
        <v>1.4878227981763761E-6</v>
      </c>
      <c r="E54" s="46">
        <v>6.3766674142875897E-7</v>
      </c>
      <c r="F54" s="46">
        <f>F38^2</f>
        <v>1.4878229554339506E-6</v>
      </c>
      <c r="G54" s="46">
        <f>G38^2</f>
        <v>1.4878229554339506E-6</v>
      </c>
      <c r="H54" s="46"/>
      <c r="I54" s="46"/>
    </row>
    <row r="55" spans="2:9" x14ac:dyDescent="0.25">
      <c r="D55" s="46">
        <f t="shared" ref="D55:G65" si="1">D39^2</f>
        <v>2.7002508429070987E-3</v>
      </c>
      <c r="E55" s="46">
        <v>0.26610080795083607</v>
      </c>
      <c r="F55" s="46">
        <f t="shared" si="1"/>
        <v>2.700250847983956E-3</v>
      </c>
      <c r="G55" s="46">
        <f t="shared" si="1"/>
        <v>2.700250847983956E-3</v>
      </c>
      <c r="H55" s="46"/>
      <c r="I55" s="46"/>
    </row>
    <row r="56" spans="2:9" x14ac:dyDescent="0.25">
      <c r="D56" s="46">
        <f t="shared" si="1"/>
        <v>2.6294196973471701E-3</v>
      </c>
      <c r="E56" s="46">
        <v>4.5573060276718584E-2</v>
      </c>
      <c r="F56" s="46">
        <f t="shared" si="1"/>
        <v>2.6294196946372193E-3</v>
      </c>
      <c r="G56" s="46">
        <f t="shared" si="1"/>
        <v>2.6294196946372193E-3</v>
      </c>
      <c r="H56" s="46"/>
      <c r="I56" s="46"/>
    </row>
    <row r="57" spans="2:9" x14ac:dyDescent="0.25">
      <c r="D57" s="46">
        <f t="shared" si="1"/>
        <v>7.6181179329030935E-4</v>
      </c>
      <c r="E57" s="46">
        <v>1.4831968088662903E-2</v>
      </c>
      <c r="F57" s="46">
        <f t="shared" si="1"/>
        <v>7.6181179487633417E-4</v>
      </c>
      <c r="G57" s="46">
        <f t="shared" si="1"/>
        <v>7.6181179487633417E-4</v>
      </c>
      <c r="H57" s="46"/>
      <c r="I57" s="46"/>
    </row>
    <row r="58" spans="2:9" x14ac:dyDescent="0.25">
      <c r="D58" s="46">
        <f t="shared" si="1"/>
        <v>0.1030270610717596</v>
      </c>
      <c r="E58" s="46">
        <v>0.30103615629201824</v>
      </c>
      <c r="F58" s="46">
        <f t="shared" si="1"/>
        <v>0.10302706108585521</v>
      </c>
      <c r="G58" s="46">
        <f t="shared" si="1"/>
        <v>0.10302706108585243</v>
      </c>
      <c r="H58" s="46"/>
      <c r="I58" s="46"/>
    </row>
    <row r="59" spans="2:9" x14ac:dyDescent="0.25">
      <c r="D59" s="46">
        <f t="shared" si="1"/>
        <v>2.3976637898538033E-4</v>
      </c>
      <c r="E59" s="46">
        <v>3.4470468240844834E-2</v>
      </c>
      <c r="F59" s="46">
        <f t="shared" si="1"/>
        <v>2.3976637950836669E-4</v>
      </c>
      <c r="G59" s="46">
        <f t="shared" si="1"/>
        <v>2.3976637950836669E-4</v>
      </c>
      <c r="H59" s="46"/>
      <c r="I59" s="46"/>
    </row>
    <row r="60" spans="2:9" x14ac:dyDescent="0.25">
      <c r="D60" s="46">
        <f t="shared" si="1"/>
        <v>1.3250468248353273E-3</v>
      </c>
      <c r="E60" s="46">
        <v>3.1964383839216286E-2</v>
      </c>
      <c r="F60" s="46">
        <f t="shared" si="1"/>
        <v>1.3250468257894634E-3</v>
      </c>
      <c r="G60" s="46">
        <f t="shared" si="1"/>
        <v>1.3250468257882005E-3</v>
      </c>
      <c r="H60" s="46"/>
      <c r="I60" s="46"/>
    </row>
    <row r="61" spans="2:9" x14ac:dyDescent="0.25">
      <c r="D61" s="46">
        <f t="shared" si="1"/>
        <v>1.6337786182134024E-4</v>
      </c>
      <c r="E61" s="46">
        <v>1.7930065278503195E-2</v>
      </c>
      <c r="F61" s="46">
        <f t="shared" si="1"/>
        <v>1.6337786152311173E-4</v>
      </c>
      <c r="G61" s="46">
        <f t="shared" si="1"/>
        <v>1.6337786152300087E-4</v>
      </c>
      <c r="H61" s="46"/>
      <c r="I61" s="46"/>
    </row>
    <row r="62" spans="2:9" x14ac:dyDescent="0.25">
      <c r="D62" s="46">
        <f t="shared" si="1"/>
        <v>3.9998055303399683E-5</v>
      </c>
      <c r="E62" s="46">
        <v>1.6676391528041408E-2</v>
      </c>
      <c r="F62" s="46">
        <f t="shared" si="1"/>
        <v>3.9998055436424127E-5</v>
      </c>
      <c r="G62" s="46">
        <f t="shared" si="1"/>
        <v>3.9998055436478981E-5</v>
      </c>
      <c r="H62" s="46"/>
      <c r="I62" s="46"/>
    </row>
    <row r="63" spans="2:9" x14ac:dyDescent="0.25">
      <c r="D63" s="46">
        <f t="shared" si="1"/>
        <v>8.6031808273628625E-4</v>
      </c>
      <c r="E63" s="46">
        <v>1.2259938284047853E-2</v>
      </c>
      <c r="F63" s="46">
        <f t="shared" si="1"/>
        <v>8.6031808336619903E-4</v>
      </c>
      <c r="G63" s="46">
        <f t="shared" si="1"/>
        <v>8.6031808336569022E-4</v>
      </c>
      <c r="H63" s="46"/>
      <c r="I63" s="46"/>
    </row>
    <row r="64" spans="2:9" x14ac:dyDescent="0.25">
      <c r="D64" s="46">
        <f t="shared" si="1"/>
        <v>0.12147718540705388</v>
      </c>
      <c r="E64" s="46">
        <v>0.22486946876342093</v>
      </c>
      <c r="F64" s="46">
        <f t="shared" si="1"/>
        <v>0.12147718541238654</v>
      </c>
      <c r="G64" s="46">
        <f t="shared" si="1"/>
        <v>0.12147718541238051</v>
      </c>
      <c r="H64" s="46"/>
      <c r="I64" s="46"/>
    </row>
    <row r="65" spans="4:9" x14ac:dyDescent="0.25">
      <c r="D65" s="46">
        <f t="shared" si="1"/>
        <v>1.3957737536769864E-3</v>
      </c>
      <c r="E65" s="46">
        <v>1.6485619007564834E-2</v>
      </c>
      <c r="F65" s="46">
        <f t="shared" si="1"/>
        <v>1.3957737540237166E-3</v>
      </c>
      <c r="G65" s="46">
        <f t="shared" si="1"/>
        <v>1.3957737539997371E-3</v>
      </c>
      <c r="H65" s="46"/>
      <c r="I65" s="46"/>
    </row>
    <row r="66" spans="4:9" x14ac:dyDescent="0.25">
      <c r="D66" s="46"/>
      <c r="E66" s="46"/>
      <c r="F66" s="46"/>
      <c r="G66" s="46"/>
    </row>
    <row r="67" spans="4:9" x14ac:dyDescent="0.25">
      <c r="D67" s="36">
        <f>SUM(D54:D65)</f>
        <v>0.23462149759251497</v>
      </c>
      <c r="E67" s="36">
        <f>SUM(E54:E65)</f>
        <v>0.98219896521661654</v>
      </c>
      <c r="F67" s="36">
        <f>SUM(F54:F65)</f>
        <v>0.234621497618342</v>
      </c>
      <c r="G67" s="36">
        <f>SUM(G54:G65)</f>
        <v>0.23462149761830736</v>
      </c>
    </row>
    <row r="68" spans="4:9" x14ac:dyDescent="0.25">
      <c r="D68" s="36">
        <f>D67/12</f>
        <v>1.9551791466042915E-2</v>
      </c>
      <c r="E68" s="36">
        <f>E67/12</f>
        <v>8.1849913768051383E-2</v>
      </c>
      <c r="F68" s="36">
        <f>F67/12</f>
        <v>1.9551791468195166E-2</v>
      </c>
      <c r="G68" s="36">
        <f>G67/12</f>
        <v>1.9551791468192279E-2</v>
      </c>
      <c r="H68" s="36"/>
      <c r="I68" s="36"/>
    </row>
    <row r="69" spans="4:9" x14ac:dyDescent="0.25">
      <c r="D69" s="36">
        <f>SQRT(D68)</f>
        <v>0.13982772066383301</v>
      </c>
      <c r="E69" s="36">
        <f>SQRT(E68)</f>
        <v>0.28609423931294281</v>
      </c>
      <c r="F69" s="36">
        <f>SQRT(F68)</f>
        <v>0.1398277206715291</v>
      </c>
      <c r="G69" s="36">
        <f>SQRT(G68)</f>
        <v>0.13982772067151877</v>
      </c>
      <c r="H69" s="36"/>
      <c r="I69" s="36"/>
    </row>
    <row r="70" spans="4:9" x14ac:dyDescent="0.25">
      <c r="D70" s="36"/>
      <c r="E70" s="36"/>
      <c r="F70" s="36"/>
      <c r="G70" s="36"/>
      <c r="H70" s="36"/>
      <c r="I70" s="36"/>
    </row>
    <row r="71" spans="4:9" x14ac:dyDescent="0.25">
      <c r="D71" s="36"/>
      <c r="E71" s="36"/>
      <c r="F71" s="36"/>
      <c r="G71" s="36"/>
      <c r="H71" s="36"/>
      <c r="I71" s="36"/>
    </row>
    <row r="72" spans="4:9" x14ac:dyDescent="0.25">
      <c r="D72" s="36"/>
      <c r="E72" s="36"/>
      <c r="F72" s="36"/>
      <c r="G72" s="36"/>
      <c r="H72" s="36"/>
      <c r="I72" s="36"/>
    </row>
    <row r="73" spans="4:9" x14ac:dyDescent="0.25">
      <c r="D73" s="36"/>
      <c r="E73" s="36"/>
      <c r="F73" s="36"/>
      <c r="G73" s="36"/>
      <c r="H73" s="36"/>
      <c r="I73" s="36"/>
    </row>
    <row r="74" spans="4:9" x14ac:dyDescent="0.25">
      <c r="D74" s="36"/>
      <c r="E74" s="36"/>
      <c r="F74" s="36"/>
      <c r="G74" s="36"/>
      <c r="H74" s="36"/>
      <c r="I74" s="36"/>
    </row>
    <row r="75" spans="4:9" x14ac:dyDescent="0.25">
      <c r="D75" s="36"/>
      <c r="E75" s="36"/>
      <c r="F75" s="36"/>
      <c r="G75" s="36"/>
      <c r="H75" s="36"/>
      <c r="I75" s="36"/>
    </row>
  </sheetData>
  <mergeCells count="12">
    <mergeCell ref="Y2:AF2"/>
    <mergeCell ref="P2:W2"/>
    <mergeCell ref="K2:N2"/>
    <mergeCell ref="K3:L3"/>
    <mergeCell ref="B37:C37"/>
    <mergeCell ref="B50:C50"/>
    <mergeCell ref="B51:C51"/>
    <mergeCell ref="B2:F2"/>
    <mergeCell ref="B3:C3"/>
    <mergeCell ref="B16:C16"/>
    <mergeCell ref="B17:C17"/>
    <mergeCell ref="B36:G36"/>
  </mergeCells>
  <pageMargins left="0.7" right="0.7" top="0.75" bottom="0.75" header="0.3" footer="0.3"/>
  <ignoredErrors>
    <ignoredError sqref="E5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2016-09-30T09:48:06Z</dcterms:created>
  <dcterms:modified xsi:type="dcterms:W3CDTF">2016-10-19T13:32:49Z</dcterms:modified>
</cp:coreProperties>
</file>